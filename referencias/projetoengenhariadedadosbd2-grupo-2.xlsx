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142a87936243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ções" sheetId="1" r:id="R3907b86b79a0495f"/>
    <x:sheet xmlns:r="http://schemas.openxmlformats.org/officeDocument/2006/relationships" name="Identificação" sheetId="2" r:id="R16d17d50120849fc"/>
    <x:sheet xmlns:r="http://schemas.openxmlformats.org/officeDocument/2006/relationships" name="1 Fontes" sheetId="3" r:id="Redfca95e220c4c2d"/>
    <x:sheet xmlns:r="http://schemas.openxmlformats.org/officeDocument/2006/relationships" name="2 Formatos" sheetId="4" r:id="Rb8d3d895947647d5"/>
    <x:sheet xmlns:r="http://schemas.openxmlformats.org/officeDocument/2006/relationships" name="3 Modelos" sheetId="5" r:id="R043c5f7294d645cf"/>
    <x:sheet xmlns:r="http://schemas.openxmlformats.org/officeDocument/2006/relationships" name="4 Cargas e Engines" sheetId="6" r:id="Rb57abc313aae4ec8"/>
    <x:sheet xmlns:r="http://schemas.openxmlformats.org/officeDocument/2006/relationships" name="5 Pipeline" sheetId="7" r:id="R2e506f0390ec4090"/>
    <x:sheet xmlns:r="http://schemas.openxmlformats.org/officeDocument/2006/relationships" name="ADR" sheetId="8" r:id="R1d249e7db87744c6"/>
    <x:sheet xmlns:r="http://schemas.openxmlformats.org/officeDocument/2006/relationships" name="Riscos" sheetId="9" r:id="R075818d98f2c4340"/>
  </x:sheets>
</x:workbook>
</file>

<file path=xl/sharedStrings.xml><?xml version="1.0" encoding="utf-8"?>
<x:sst xmlns:x="http://schemas.openxmlformats.org/spreadsheetml/2006/main">
  <x:si>
    <x:t xml:space="preserve">Engenharia de Dados aplicada ao seu projeto — BD2 / FCTE-UnB</x:t>
  </x:si>
  <x:si>
    <x:t xml:space="preserve">Planilha de acompanhamento. Preencha a partir do projeto que a sua equipe está desenvolvendo.</x:t>
  </x:si>
  <x:si>
    <x:t xml:space="preserve">COMO USAR</x:t>
  </x:si>
  <x:si>
    <x:t xml:space="preserve">Uma aba por bloco da aula</x:t>
  </x:si>
  <x:si>
    <x:t xml:space="preserve">As abas 1 a 5 seguem exatamente os cinco blocos da apresentação: fontes, formatos, modelos, cargas/engines e pipeline.</x:t>
  </x:si>
  <x:si>
    <x:t xml:space="preserve">Preencha as células em amarelo claro</x:t>
  </x:si>
  <x:si>
    <x:t xml:space="preserve">Só elas esperam resposta. Cabeçalhos e exemplos não devem ser alterados.</x:t>
  </x:si>
  <x:si>
    <x:t xml:space="preserve">A primeira linha de cada tabela é um EXEMPLO</x:t>
  </x:si>
  <x:si>
    <x:t xml:space="preserve">Está em cinza itálico, é fictícia e serve para mostrar o nível de detalhe esperado. Não apague — use como referência.</x:t>
  </x:si>
  <x:si>
    <x:t xml:space="preserve">Acrescente linhas quando precisar</x:t>
  </x:si>
  <x:si>
    <x:t xml:space="preserve">As tabelas vêm com espaço de sobra; se faltar, insira linhas antes da última.</x:t>
  </x:si>
  <x:si>
    <x:t xml:space="preserve">Justificativa vale mais que ferramenta</x:t>
  </x:si>
  <x:si>
    <x:t xml:space="preserve">Em toda coluna "por quê", a resposta esperada não é o nome de um produto: é o critério que levou à escolha.</x:t>
  </x:si>
  <x:si>
    <x:t xml:space="preserve">Não invente número</x:t>
  </x:si>
  <x:si>
    <x:t xml:space="preserve">Estimativa é aceita, desde que a coluna diga que é estimativa e como foi obtida.</x:t>
  </x:si>
  <x:si>
    <x:t xml:space="preserve">LEGENDA DE CORES</x:t>
  </x:si>
  <x:si>
    <x:t xml:space="preserve">Preencha aqui</x:t>
  </x:si>
  <x:si>
    <x:t xml:space="preserve">Célula de preenchimento — é aqui que a equipe escreve.</x:t>
  </x:si>
  <x:si>
    <x:t xml:space="preserve">Exemplo fictício</x:t>
  </x:si>
  <x:si>
    <x:t xml:space="preserve">Linha de exemplo — não apague, use como referência.</x:t>
  </x:si>
  <x:si>
    <x:t xml:space="preserve">Cabeçalho</x:t>
  </x:si>
  <x:si>
    <x:t xml:space="preserve">Nome da coluna — não altere.</x:t>
  </x:si>
  <x:si>
    <x:t xml:space="preserve">Calculado</x:t>
  </x:si>
  <x:si>
    <x:t xml:space="preserve">Campo calculado automaticamente — não altere.</x:t>
  </x:si>
  <x:si>
    <x:t xml:space="preserve">PROGRESSO DO PREENCHIMENTO (calculado automaticamente)</x:t>
  </x:si>
  <x:si>
    <x:t xml:space="preserve">Aba</x:t>
  </x:si>
  <x:si>
    <x:t xml:space="preserve">O que a aba responde</x:t>
  </x:si>
  <x:si>
    <x:t xml:space="preserve">Linhas preenchidas</x:t>
  </x:si>
  <x:si>
    <x:t xml:space="preserve">Mínimo esperado</x:t>
  </x:si>
  <x:si>
    <x:t xml:space="preserve">Situação</x:t>
  </x:si>
  <x:si>
    <x:t xml:space="preserve">1 Fontes</x:t>
  </x:si>
  <x:si>
    <x:t xml:space="preserve">De onde vem o dado do projeto e o que a origem impõe</x:t>
  </x:si>
  <x:si>
    <x:t xml:space="preserve">2 Formatos</x:t>
  </x:si>
  <x:si>
    <x:t xml:space="preserve">Em que formato o dado é gravado e por quê</x:t>
  </x:si>
  <x:si>
    <x:t xml:space="preserve">3 Modelos</x:t>
  </x:si>
  <x:si>
    <x:t xml:space="preserve">Como o dado é representado (entidades e modelo escolhido)</x:t>
  </x:si>
  <x:si>
    <x:t xml:space="preserve">4 Cargas e Engines</x:t>
  </x:si>
  <x:si>
    <x:t xml:space="preserve">Que carga cada armazenamento aguenta e com que garantia</x:t>
  </x:si>
  <x:si>
    <x:t xml:space="preserve">5 Pipeline</x:t>
  </x:si>
  <x:si>
    <x:t xml:space="preserve">Como o dado vai da origem ao consumo</x:t>
  </x:si>
  <x:si>
    <x:t xml:space="preserve">Riscos</x:t>
  </x:si>
  <x:si>
    <x:t xml:space="preserve">O que derruba o pipeline e como mitigar</x:t>
  </x:si>
  <x:si>
    <x:t xml:space="preserve">ADR</x:t>
  </x:si>
  <x:si>
    <x:t xml:space="preserve">A decisão registrada com contexto e alternativas</x:t>
  </x:si>
  <x:si>
    <x:t xml:space="preserve">Abas concluídas</x:t>
  </x:si>
  <x:si>
    <x:t xml:space="preserve">Fonte dos conceitos: apresentação "Engenharia de Dados 101" (BD2), adaptada de Chip Huyen, CS 329S — Stanford. Bibliografia: Reis &amp; Housley, Fundamentos de Engenharia de Dados (Novatec, 2023); Kleppmann, Designing Data-Intensive Applications.</x:t>
  </x:si>
  <x:si>
    <x:t xml:space="preserve">Identificação do projeto e da equipe</x:t>
  </x:si>
  <x:si>
    <x:t xml:space="preserve">Preencha antes de começar as demais abas.</x:t>
  </x:si>
  <x:si>
    <x:t xml:space="preserve">Campo</x:t>
  </x:si>
  <x:si>
    <x:t xml:space="preserve">Resposta da equipe</x:t>
  </x:si>
  <x:si>
    <x:t xml:space="preserve">Observação / o que se espera</x:t>
  </x:si>
  <x:si>
    <x:t xml:space="preserve">Nome do projeto</x:t>
  </x:si>
  <x:si>
    <x:t xml:space="preserve">Tragetórias acadêmicas UnB</x:t>
  </x:si>
  <x:si>
    <x:t xml:space="preserve">Como o projeto é chamado.</x:t>
  </x:si>
  <x:si>
    <x:t xml:space="preserve">Equipe (nomes completos)</x:t>
  </x:si>
  <x:si>
    <x:t xml:space="preserve">Ana Joyce; Gustavo Alves; Gabriel Lima da Silva; Nathan Abreu; Guilherme Evangelista; Angélica; Davi Araújo</x:t>
  </x:si>
  <x:si>
    <x:t xml:space="preserve">Todos os integrantes.</x:t>
  </x:si>
  <x:si>
    <x:t xml:space="preserve">Disciplina / turma / semestre</x:t>
  </x:si>
  <x:si>
    <x:t xml:space="preserve">Sistemas de Banco de Dados 2 / Turma 3 / 2026.2</x:t>
  </x:si>
  <x:si>
    <x:t xml:space="preserve">Em uma frase, o que o sistema faz</x:t>
  </x:si>
  <x:si>
    <x:t xml:space="preserve">Sem jargão. Uma frase.</x:t>
  </x:si>
  <x:si>
    <x:t xml:space="preserve">Problema que ele resolve</x:t>
  </x:si>
  <x:si>
    <x:t xml:space="preserve">O projeto apoia a coordenação acadêmica na definição estratégica e preditiva da oferta de disciplinas na UnB, reduzindo a dependência de decisões empíricas para combater a superlotação de turmas, mitigar gargalos curriculares e diminuir o tempo de retenção nos cursos. Ao mesmo tempo, a solução serve como uma fonte transparente de dados para futuros ingressantes e a comunidade externa, permitindo que potenciais estudantes conheçam a realidade prática de cada curso, o comportamento da taxa de conclusão, as formas de ingresso e os tempos médios de diplomação antes de iniciarem a trajetória universitária.</x:t>
  </x:si>
  <x:si>
    <x:t xml:space="preserve">Quem usa o sistema</x:t>
  </x:si>
  <x:si>
    <x:t xml:space="preserve">Coordenadores de cursos de graduação, interessados em ingressar na UnB.</x:t>
  </x:si>
  <x:si>
    <x:t xml:space="preserve">Os atores principais.</x:t>
  </x:si>
  <x:si>
    <x:t xml:space="preserve">Repositório / link do projeto</x:t>
  </x:si>
  <x:si>
    <x:t xml:space="preserve">https://github.com/Trajetorias-Academicas-BD2-2026-2/Documentation</x:t>
  </x:si>
  <x:si>
    <x:t xml:space="preserve">Data de preenchimento</x:t>
  </x:si>
  <x:si>
    <x:t xml:space="preserve">Versão deste documento</x:t>
  </x:si>
  <x:si>
    <x:t xml:space="preserve">Atualize a cada revisão.</x:t>
  </x:si>
  <x:si>
    <x:t xml:space="preserve">Bloco 1 — Inventário de fontes de dados do projeto</x:t>
  </x:si>
  <x:si>
    <x:t xml:space="preserve">Uma linha por fonte. Se a equipe não souber responder vazão, pureza e previsibilidade, ainda não dá para desenhar o pipeline.</x:t>
  </x:si>
  <x:si>
    <x:t xml:space="preserve">Linha 6 = exemplo fictício (não apague). Preencha a partir da linha 7.</x:t>
  </x:si>
  <x:si>
    <x:t xml:space="preserve">Nº</x:t>
  </x:si>
  <x:si>
    <x:t xml:space="preserve">Nome da fonte</x:t>
  </x:si>
  <x:si>
    <x:t xml:space="preserve">Tipo
(usuário | sistema | interna | terceiro)</x:t>
  </x:si>
  <x:si>
    <x:t xml:space="preserve">Quem ou o que gera</x:t>
  </x:si>
  <x:si>
    <x:t xml:space="preserve">O que essa fonte contém</x:t>
  </x:si>
  <x:si>
    <x:t xml:space="preserve">Formato em que chega
(JSON, CSV, formulário, API…)</x:t>
  </x:si>
  <x:si>
    <x:t xml:space="preserve">Volume estimado
(por dia ou por mês)</x:t>
  </x:si>
  <x:si>
    <x:t xml:space="preserve">Frequência de chegada
(tempo real | horária | diária | eventual)</x:t>
  </x:si>
  <x:si>
    <x:t xml:space="preserve">Vazão
(alta | média | baixa)</x:t>
  </x:si>
  <x:si>
    <x:t xml:space="preserve">Pureza
(alta | média | baixa)</x:t>
  </x:si>
  <x:si>
    <x:t xml:space="preserve">Previsibilidade do formato
(alta | média | baixa)</x:t>
  </x:si>
  <x:si>
    <x:t xml:space="preserve">Contém dado pessoal?
(sim | não)</x:t>
  </x:si>
  <x:si>
    <x:t xml:space="preserve">Base legal LGPD
(se contém dado pessoal)</x:t>
  </x:si>
  <x:si>
    <x:t xml:space="preserve">Retenção
(por quanto tempo guardar)</x:t>
  </x:si>
  <x:si>
    <x:t xml:space="preserve">O que quebra se essa fonte falhar</x:t>
  </x:si>
  <x:si>
    <x:t xml:space="preserve">1</x:t>
  </x:si>
  <x:si>
    <x:t xml:space="preserve">Registro de empréstimo</x:t>
  </x:si>
  <x:si>
    <x:t xml:space="preserve">usuário</x:t>
  </x:si>
  <x:si>
    <x:t xml:space="preserve">Estudante no aplicativo</x:t>
  </x:si>
  <x:si>
    <x:t xml:space="preserve">Matrícula, bicicleta, horário de retirada e de devolução</x:t>
  </x:si>
  <x:si>
    <x:t xml:space="preserve">Formulário do app (JSON)</x:t>
  </x:si>
  <x:si>
    <x:t xml:space="preserve">~400 registros/dia</x:t>
  </x:si>
  <x:si>
    <x:t xml:space="preserve">tempo real</x:t>
  </x:si>
  <x:si>
    <x:t xml:space="preserve">média</x:t>
  </x:si>
  <x:si>
    <x:t xml:space="preserve">alta</x:t>
  </x:si>
  <x:si>
    <x:t xml:space="preserve">sim</x:t>
  </x:si>
  <x:si>
    <x:t xml:space="preserve">Execução de contrato (art. 7º, V)</x:t>
  </x:si>
  <x:si>
    <x:t xml:space="preserve">5 anos (regra da prefeitura do campus)</x:t>
  </x:si>
  <x:si>
    <x:t xml:space="preserve">Ninguém consegue retirar bicicleta; o sistema perde a função principal</x:t>
  </x:si>
  <x:si>
    <x:t xml:space="preserve">2</x:t>
  </x:si>
  <x:si>
    <x:t xml:space="preserve">Dados de alunos — SIGAA</x:t>
  </x:si>
  <x:si>
    <x:t xml:space="preserve">sistema</x:t>
  </x:si>
  <x:si>
    <x:t xml:space="preserve">UnB / SIGAA</x:t>
  </x:si>
  <x:si>
    <x:t xml:space="preserve">Histórico acadêmico, forma de ingresso (PAS, Enem, Cotas), status (concluído/cancelado), turno, sexo, raça/cor, data de nascimento/ingresso</x:t>
  </x:si>
  <x:si>
    <x:t xml:space="preserve">CSV</x:t>
  </x:si>
  <x:si>
    <x:t xml:space="preserve">A confirmar</x:t>
  </x:si>
  <x:si>
    <x:t xml:space="preserve">Eventual / atualização periódica</x:t>
  </x:si>
  <x:si>
    <x:t xml:space="preserve">Média</x:t>
  </x:si>
  <x:si>
    <x:t xml:space="preserve">Alta</x:t>
  </x:si>
  <x:si>
    <x:t xml:space="preserve">Sim</x:t>
  </x:si>
  <x:si>
    <x:t xml:space="preserve">Impossibilita analisar o tempo médio de formação, perfil sociodemográfico, impacto de cotas/ingresso e taxas de evasão/conclusão</x:t>
  </x:si>
  <x:si>
    <x:t xml:space="preserve">3</x:t>
  </x:si>
  <x:si>
    <x:t xml:space="preserve">Turmas</x:t>
  </x:si>
  <x:si>
    <x:t xml:space="preserve">Relação de turmas da instituição, permitindo analisar a oferta de disciplinas por período</x:t>
  </x:si>
  <x:si>
    <x:t xml:space="preserve">Semestral / eventual</x:t>
  </x:si>
  <x:si>
    <x:t xml:space="preserve">Não será possível analisar quais disciplinas são ofertadas, quantas turmas são abertas e como a oferta varia ao longo dos períodos</x:t>
  </x:si>
  <x:si>
    <x:t xml:space="preserve">Componente Curricular</x:t>
  </x:si>
  <x:si>
    <x:t xml:space="preserve">Relação dos componentes curriculares dos cursos da UnB, incluindo informações necessárias para identificar e relacionar as disciplinas</x:t>
  </x:si>
  <x:si>
    <x:t xml:space="preserve">CSV / JSON</x:t>
  </x:si>
  <x:si>
    <x:t xml:space="preserve">Não, se utilizados apenas dados curriculares</x:t>
  </x:si>
  <x:si>
    <x:t xml:space="preserve">Não se aplica</x:t>
  </x:si>
  <x:si>
    <x:t xml:space="preserve">Enquanto necessário ao projeto</x:t>
  </x:si>
  <x:si>
    <x:t xml:space="preserve">Não será possível relacionar corretamente as turmas às disciplinas e analisar a estrutura curricular</x:t>
  </x:si>
  <x:si>
    <x:t xml:space="preserve">Dica do bloco 1: dado emitido pelo sistema mas que descreve a pessoa (cliques, tempo de uso, trajeto) é dado comportamental — conta como dado de usuário para efeito de LGPD.</x:t>
  </x:si>
  <x:si>
    <x:t xml:space="preserve">Bloco 2 — Formatos de armazenamento e serialização</x:t>
  </x:si>
  <x:si>
    <x:t xml:space="preserve">Uma linha por conjunto de dados que o projeto grava. A coluna de justificativa é a que vale nota.</x:t>
  </x:si>
  <x:si>
    <x:t xml:space="preserve">Conjunto de dados</x:t>
  </x:si>
  <x:si>
    <x:t xml:space="preserve">Fonte de origem
(nº da aba 1)</x:t>
  </x:si>
  <x:si>
    <x:t xml:space="preserve">Formato atual</x:t>
  </x:si>
  <x:si>
    <x:t xml:space="preserve">Texto ou binário</x:t>
  </x:si>
  <x:si>
    <x:t xml:space="preserve">Orientação
(linha | coluna | não se aplica)</x:t>
  </x:si>
  <x:si>
    <x:t xml:space="preserve">Tamanho estimado
(em 1 ano)</x:t>
  </x:si>
  <x:si>
    <x:t xml:space="preserve">Como é lido
(registro inteiro | poucas colunas | busca por chave)</x:t>
  </x:si>
  <x:si>
    <x:t xml:space="preserve">Frequência de leitura</x:t>
  </x:si>
  <x:si>
    <x:t xml:space="preserve">Formato proposto</x:t>
  </x:si>
  <x:si>
    <x:t xml:space="preserve">Justificativa da escolha</x:t>
  </x:si>
  <x:si>
    <x:t xml:space="preserve">Ganho esperado (se houver troca)</x:t>
  </x:si>
  <x:si>
    <x:t xml:space="preserve">Histórico de empréstimos</x:t>
  </x:si>
  <x:si>
    <x:t xml:space="preserve">CSV exportado do banco</x:t>
  </x:si>
  <x:si>
    <x:t xml:space="preserve">texto</x:t>
  </x:si>
  <x:si>
    <x:t xml:space="preserve">linha</x:t>
  </x:si>
  <x:si>
    <x:t xml:space="preserve">~1,2 GB</x:t>
  </x:si>
  <x:si>
    <x:t xml:space="preserve">poucas colunas (data e duração) sobre milhões de linhas</x:t>
  </x:si>
  <x:si>
    <x:t xml:space="preserve">semanal, para relatórios</x:t>
  </x:si>
  <x:si>
    <x:t xml:space="preserve">Parquet</x:t>
  </x:si>
  <x:si>
    <x:t xml:space="preserve">A análise só usa 3 de 14 colunas; formato colunar evita ler o resto e comprime valores repetidos</x:t>
  </x:si>
  <x:si>
    <x:t xml:space="preserve">Leitura estimada 6x mais rápida e ~70% menos disco</x:t>
  </x:si>
  <x:si>
    <x:t xml:space="preserve">Dados dos alunos</x:t>
  </x:si>
  <x:si>
    <x:t xml:space="preserve">poucas colunas, conforme os indicadores analisados</x:t>
  </x:si>
  <x:si>
    <x:t xml:space="preserve">Semestral / durante as análises</x:t>
  </x:si>
  <x:si>
    <x:t xml:space="preserve">O sistema não precisa utilizar todas as colunas dos dados dos alunos em cada análise. O formato colunar permite selecionar somente os atributos necessários e oferece boa compressão para grandes volumes de dados tabulares.</x:t>
  </x:si>
  <x:si>
    <x:t xml:space="preserve">Menor uso de armazenamento e menor quantidade de dados lidos durante as análises.</x:t>
  </x:si>
  <x:si>
    <x:t xml:space="preserve">poucas colunas e filtros por período, disciplina e turma</x:t>
  </x:si>
  <x:si>
    <x:t xml:space="preserve">As análises devem selecionar atributos específicos, como período, código da disciplina, turno, número de vagas e situação da turma. O formato colunar é adequado para esse tipo de consulta analítica.</x:t>
  </x:si>
  <x:si>
    <x:t xml:space="preserve">Redução do volume de dados lido e melhor desempenho nas consultas analíticas.</x:t>
  </x:si>
  <x:si>
    <x:t xml:space="preserve">4</x:t>
  </x:si>
  <x:si>
    <x:t xml:space="preserve">Componentes curriculares</x:t>
  </x:si>
  <x:si>
    <x:t xml:space="preserve">poucas colunas / busca por chave (código do componente)</x:t>
  </x:si>
  <x:si>
    <x:t xml:space="preserve">Os componentes curriculares serão utilizados principalmente para relacionar códigos de disciplinas e informações da estrutura curricular. O formato permite selecionar apenas as colunas necessárias e manter os dados em um padrão único com as demais fontes.</x:t>
  </x:si>
  <x:si>
    <x:t xml:space="preserve">Padronização do armazenamento e redução do volume de leitura nas análises.</x:t>
  </x:si>
  <x:si>
    <x:t xml:space="preserve">5</x:t>
  </x:si>
  <x:si>
    <x:t xml:space="preserve">Dados integrados para análise de oferta</x:t>
  </x:si>
  <x:si>
    <x:t xml:space="preserve">2, 3 e 4</x:t>
  </x:si>
  <x:si>
    <x:t xml:space="preserve">binário</x:t>
  </x:si>
  <x:si>
    <x:t xml:space="preserve">coluna</x:t>
  </x:si>
  <x:si>
    <x:t xml:space="preserve">poucas colunas e filtros por período/disciplina</x:t>
  </x:si>
  <x:si>
    <x:t xml:space="preserve">Sob demanda / semanal</x:t>
  </x:si>
  <x:si>
    <x:t xml:space="preserve">É o conjunto principal utilizado pelo sistema para gerar indicadores. Parquet é adequado para consultas analíticas que filtram períodos, disciplinas, turnos e outras dimensões sem precisar carregar todas as colunas.</x:t>
  </x:si>
  <x:si>
    <x:t xml:space="preserve">Melhor desempenho nas consultas e menor uso de armazenamento em comparação com CSV.</x:t>
  </x:si>
  <x:si>
    <x:t xml:space="preserve">Dica do bloco 2: linha favorece quem lê registros inteiros; coluna favorece quem lê poucos atributos de muitos registros. Texto é legível e volumoso; binário é compacto e opaco.</x:t>
  </x:si>
  <x:si>
    <x:t xml:space="preserve">Bloco 3 — Modelo de dados do projeto</x:t>
  </x:si>
  <x:si>
    <x:t xml:space="preserve">Primeiro as entidades do domínio; depois as consultas que o sistema precisa responder.</x:t>
  </x:si>
  <x:si>
    <x:t xml:space="preserve">Entidade do domínio</x:t>
  </x:si>
  <x:si>
    <x:t xml:space="preserve">O que ela representa</x:t>
  </x:si>
  <x:si>
    <x:t xml:space="preserve">Atributos principais</x:t>
  </x:si>
  <x:si>
    <x:t xml:space="preserve">Relacionamentos com outras entidades</x:t>
  </x:si>
  <x:si>
    <x:t xml:space="preserve">Identificador (chave)</x:t>
  </x:si>
  <x:si>
    <x:t xml:space="preserve">Modelo escolhido
(relacional | documento | chave-valor | grafo | série temporal | vetorial)</x:t>
  </x:si>
  <x:si>
    <x:t xml:space="preserve">Modelos descartados</x:t>
  </x:si>
  <x:si>
    <x:t xml:space="preserve">Normalizado ou desnormalizado?</x:t>
  </x:si>
  <x:si>
    <x:t xml:space="preserve">Empréstimo</x:t>
  </x:si>
  <x:si>
    <x:t xml:space="preserve">Uma retirada de bicicleta por uma pessoa</x:t>
  </x:si>
  <x:si>
    <x:t xml:space="preserve">id, matrícula, id_bicicleta, retirada, devolução, situação</x:t>
  </x:si>
  <x:si>
    <x:t xml:space="preserve">Pertence a um Usuário; refere-se a uma Bicicleta</x:t>
  </x:si>
  <x:si>
    <x:t xml:space="preserve">id_emprestimo (chave primária)</x:t>
  </x:si>
  <x:si>
    <x:t xml:space="preserve">relacional</x:t>
  </x:si>
  <x:si>
    <x:t xml:space="preserve">documento (relações são o centro do domínio)</x:t>
  </x:si>
  <x:si>
    <x:t xml:space="preserve">normalizado</x:t>
  </x:si>
  <x:si>
    <x:t xml:space="preserve">Integridade importa mais que flexibilidade: não pode existir empréstimo de bicicleta inexistente</x:t>
  </x:si>
  <x:si>
    <x:t xml:space="preserve">Aluno</x:t>
  </x:si>
  <x:si>
    <x:t xml:space="preserve">Pessoa matriculada em um curso da UnB</x:t>
  </x:si>
  <x:si>
    <x:t xml:space="preserve">matrícula, curso, campus/unidade, turno, situação acadêmica</x:t>
  </x:si>
  <x:si>
    <x:t xml:space="preserve">Pertence a um curso; pode estar relacionado a várias disciplinas/turmas</x:t>
  </x:si>
  <x:si>
    <x:t xml:space="preserve">matrícula</x:t>
  </x:si>
  <x:si>
    <x:t xml:space="preserve">documento, chave-valor</x:t>
  </x:si>
  <x:si>
    <x:t xml:space="preserve">Normalizado</x:t>
  </x:si>
  <x:si>
    <x:t xml:space="preserve">Os dados dos alunos possuem atributos estruturados e precisam ser relacionados a outras entidades. O modelo relacional facilita filtros, agregações e cruzamentos sem duplicar informações.</x:t>
  </x:si>
  <x:si>
    <x:t xml:space="preserve">Disciplina ou componente oferecido pela UnB</x:t>
  </x:si>
  <x:si>
    <x:t xml:space="preserve">código, nome, créditos, departamento/unidade, tipo, pré-requisitos</x:t>
  </x:si>
  <x:si>
    <x:t xml:space="preserve">Pode possuir várias turmas; pode possuir relação de pré-requisito com outros componentes</x:t>
  </x:si>
  <x:si>
    <x:t xml:space="preserve">código_componente</x:t>
  </x:si>
  <x:si>
    <x:t xml:space="preserve">documento, chave-valor, grafo</x:t>
  </x:si>
  <x:si>
    <x:t xml:space="preserve">A disciplina é uma entidade de referência utilizada por diversas turmas. Mantê-la separada evita duplicação e garante consistência das informações curriculares.</x:t>
  </x:si>
  <x:si>
    <x:t xml:space="preserve">Turma</x:t>
  </x:si>
  <x:si>
    <x:t xml:space="preserve">Uma oferta específica de um componente curricular em determinado período</x:t>
  </x:si>
  <x:si>
    <x:t xml:space="preserve">código da turma, período, código do componente, horário, turno, vagas, situação</x:t>
  </x:si>
  <x:si>
    <x:t xml:space="preserve">Pertence a um componente curricular; pode possuir alunos matriculados</x:t>
  </x:si>
  <x:si>
    <x:t xml:space="preserve">id_turma / código da turma</x:t>
  </x:si>
  <x:si>
    <x:t xml:space="preserve">A turma possui relações claras com disciplinas e alunos e precisa ser consultada por período, disciplina e turno. O modelo relacional facilita esses relacionamentos e agregações.</x:t>
  </x:si>
  <x:si>
    <x:t xml:space="preserve">Matrícula</x:t>
  </x:si>
  <x:si>
    <x:t xml:space="preserve">Relação entre um aluno e uma turma em determinado período</x:t>
  </x:si>
  <x:si>
    <x:t xml:space="preserve">matrícula_aluno, id_turma, período, situação</x:t>
  </x:si>
  <x:si>
    <x:t xml:space="preserve">Relaciona um Aluno a uma Turma</x:t>
  </x:si>
  <x:si>
    <x:t xml:space="preserve">matrícula_aluno + id_turma + período</x:t>
  </x:si>
  <x:si>
    <x:t xml:space="preserve">É uma entidade associativa entre alunos e turmas. O modelo relacional permite representar muitos-para-muitos e consultar a demanda por disciplina e turma.</x:t>
  </x:si>
  <x:si>
    <x:t xml:space="preserve">6</x:t>
  </x:si>
  <x:si>
    <x:t xml:space="preserve">Período Letivo</x:t>
  </x:si>
  <x:si>
    <x:t xml:space="preserve">Semestre em que as turmas são ofertadas</x:t>
  </x:si>
  <x:si>
    <x:t xml:space="preserve">código/período, ano, semestre</x:t>
  </x:si>
  <x:si>
    <x:t xml:space="preserve">Possui várias turmas e matrículas</x:t>
  </x:si>
  <x:si>
    <x:t xml:space="preserve">id_período</x:t>
  </x:si>
  <x:si>
    <x:t xml:space="preserve">Permite comparar oferta e demanda ao longo dos semestres e identificar tendências de crescimento ou redução.</x:t>
  </x:si>
  <x:si>
    <x:t xml:space="preserve">7</x:t>
  </x:si>
  <x:si>
    <x:t xml:space="preserve">Oferta de Disciplina</x:t>
  </x:si>
  <x:si>
    <x:t xml:space="preserve">Quantidade de turmas e vagas disponibilizadas para um componente em determinado período</x:t>
  </x:si>
  <x:si>
    <x:t xml:space="preserve">período, componente, quantidade de turmas, vagas ofertadas, turno</x:t>
  </x:si>
  <x:si>
    <x:t xml:space="preserve">Relaciona um componente curricular a um período e às suas turmas</x:t>
  </x:si>
  <x:si>
    <x:t xml:space="preserve">id_oferta / componente + período</x:t>
  </x:si>
  <x:si>
    <x:t xml:space="preserve">documento, chave-valor, série temporal</x:t>
  </x:si>
  <x:si>
    <x:t xml:space="preserve">A oferta é uma informação estruturada que precisa ser relacionada à disciplina e ao período. O modelo relacional facilita comparações históricas e consultas por turno.</x:t>
  </x:si>
  <x:si>
    <x:t xml:space="preserve">8</x:t>
  </x:si>
  <x:si>
    <x:t xml:space="preserve">Indicador de Demanda</x:t>
  </x:si>
  <x:si>
    <x:t xml:space="preserve">Métricas utilizadas para apoiar a decisão de oferta</x:t>
  </x:si>
  <x:si>
    <x:t xml:space="preserve">período, componente, demanda, vagas, taxa de ocupação, número de turmas, turno</x:t>
  </x:si>
  <x:si>
    <x:t xml:space="preserve">Baseia-se em Turmas, Matrículas e Componentes Curriculares</x:t>
  </x:si>
  <x:si>
    <x:t xml:space="preserve">id_indicador / componente + período + turno</x:t>
  </x:si>
  <x:si>
    <x:t xml:space="preserve">série temporal, documento</x:t>
  </x:si>
  <x:si>
    <x:t xml:space="preserve">Desnormalizado</x:t>
  </x:si>
  <x:si>
    <x:t xml:space="preserve">É uma estrutura voltada principalmente para consulta e análise. Manter os indicadores consolidados reduz a necessidade de recalcular agregações complexas a cada consulta.</x:t>
  </x:si>
  <x:si>
    <x:t xml:space="preserve">CONSULTAS QUE O SISTEMA PRECISA RESPONDER — escreva em português, não em SQL</x:t>
  </x:si>
  <x:si>
    <x:t xml:space="preserve">Consulta em português</x:t>
  </x:si>
  <x:si>
    <x:t xml:space="preserve">Quem pergunta</x:t>
  </x:si>
  <x:si>
    <x:t xml:space="preserve">Frequência
(por dia)</x:t>
  </x:si>
  <x:si>
    <x:t xml:space="preserve">Tipo
(pontual | agregada | de percurso)</x:t>
  </x:si>
  <x:si>
    <x:t xml:space="preserve">Em que modelo ela fica fácil</x:t>
  </x:si>
  <x:si>
    <x:t xml:space="preserve">Em que modelo ela fica sofrida</x:t>
  </x:si>
  <x:si>
    <x:t xml:space="preserve">Por quê</x:t>
  </x:si>
  <x:si>
    <x:t xml:space="preserve">Onde ela aparece no projeto (tela, relatório, API)</x:t>
  </x:si>
  <x:si>
    <x:t xml:space="preserve">Observações</x:t>
  </x:si>
  <x:si>
    <x:t xml:space="preserve">Quantas bicicletas estão emprestadas agora?</x:t>
  </x:si>
  <x:si>
    <x:t xml:space="preserve">Equipe de manutenção</x:t>
  </x:si>
  <x:si>
    <x:t xml:space="preserve">~200</x:t>
  </x:si>
  <x:si>
    <x:t xml:space="preserve">agregada</x:t>
  </x:si>
  <x:si>
    <x:t xml:space="preserve">documento</x:t>
  </x:si>
  <x:si>
    <x:t xml:space="preserve">Exige contar registros com filtro — trivial com índice e SQL</x:t>
  </x:si>
  <x:si>
    <x:t xml:space="preserve">Painel da equipe de manutenção</x:t>
  </x:si>
  <x:si>
    <x:t xml:space="preserve">Precisa refletir o estado do momento</x:t>
  </x:si>
  <x:si>
    <x:t xml:space="preserve">Dica do bloco 3: o modelo certo é aquele em que a consulta MAIS FREQUENTE é a mais simples de escrever. Se a pergunta central for sobre conexões de profundidade variável, o relacional vai doer.</x:t>
  </x:si>
  <x:si>
    <x:t xml:space="preserve">Bloco 4 — Cargas de trabalho, engines e garantias</x:t>
  </x:si>
  <x:si>
    <x:t xml:space="preserve">Uma linha por armazenamento do projeto (banco principal, cache, réplica analítica, arquivo…).</x:t>
  </x:si>
  <x:si>
    <x:t xml:space="preserve">Armazenamento</x:t>
  </x:si>
  <x:si>
    <x:t xml:space="preserve">O que guarda</x:t>
  </x:si>
  <x:si>
    <x:t xml:space="preserve">Tipo de carga
(OLTP | OLAP | misto)</x:t>
  </x:si>
  <x:si>
    <x:t xml:space="preserve">SGBD ou serviço escolhido</x:t>
  </x:si>
  <x:si>
    <x:t xml:space="preserve">Orientação
(linha | coluna)</x:t>
  </x:si>
  <x:si>
    <x:t xml:space="preserve">Latência aceitável</x:t>
  </x:si>
  <x:si>
    <x:t xml:space="preserve">Disponibilidade exigida</x:t>
  </x:si>
  <x:si>
    <x:t xml:space="preserve">Garantias ACID necessárias
(A, C, I, D — quais)</x:t>
  </x:si>
  <x:si>
    <x:t xml:space="preserve">De qual garantia dá para abrir mão</x:t>
  </x:si>
  <x:si>
    <x:t xml:space="preserve">Quem cobre esse buraco se abrir mão</x:t>
  </x:si>
  <x:si>
    <x:t xml:space="preserve">Volume estimado em 1 ano</x:t>
  </x:si>
  <x:si>
    <x:t xml:space="preserve">Banco principal</x:t>
  </x:si>
  <x:si>
    <x:t xml:space="preserve">Usuários, bicicletas, empréstimos em andamento</x:t>
  </x:si>
  <x:si>
    <x:t xml:space="preserve">OLTP</x:t>
  </x:si>
  <x:si>
    <x:t xml:space="preserve">PostgreSQL</x:t>
  </x:si>
  <x:si>
    <x:t xml:space="preserve">&lt; 300 ms na retirada</x:t>
  </x:si>
  <x:si>
    <x:t xml:space="preserve">alta — sem ele ninguém pega bicicleta</x:t>
  </x:si>
  <x:si>
    <x:t xml:space="preserve">A, I e D são obrigatórias</x:t>
  </x:si>
  <x:si>
    <x:t xml:space="preserve">Nenhuma, no momento</x:t>
  </x:si>
  <x:si>
    <x:t xml:space="preserve">—</x:t>
  </x:si>
  <x:si>
    <x:t xml:space="preserve">~1,5 GB</x:t>
  </x:si>
  <x:si>
    <x:t xml:space="preserve">Domínio com integridade forte, volume moderado e equipe que já domina SQL</x:t>
  </x:si>
  <x:si>
    <x:t xml:space="preserve">&lt; 1 s</x:t>
  </x:si>
  <x:si>
    <x:t xml:space="preserve">A, C, I e D</x:t>
  </x:si>
  <x:si>
    <x:t xml:space="preserve">Nenhuma</x:t>
  </x:si>
  <x:si>
    <x:t xml:space="preserve">O domínio possui muitos relacionamentos e exige integridade entre as entidades. PostgreSQL permite utilizar chaves primárias e estrangeiras, restrições e transações para manter os dados consistentes.</x:t>
  </x:si>
  <x:si>
    <x:t xml:space="preserve">Base de dados analítica</x:t>
  </x:si>
  <x:si>
    <x:t xml:space="preserve">OLAP</x:t>
  </x:si>
  <x:si>
    <x:t xml:space="preserve">&lt; 5 s</x:t>
  </x:si>
  <x:si>
    <x:t xml:space="preserve">As consultas são predominantemente analíticas, envolvendo filtros, agrupamentos e comparações por disciplina, período e turno. A separação da carga analítica evita sobrecarregar as operações principais do sistema.</x:t>
  </x:si>
  <x:si>
    <x:t xml:space="preserve">Armazenamento dos dados brutos</x:t>
  </x:si>
  <x:si>
    <x:t xml:space="preserve">Sistema de arquivos</x:t>
  </x:si>
  <x:si>
    <x:t xml:space="preserve">não se aplica</x:t>
  </x:si>
  <x:si>
    <x:t xml:space="preserve">&lt; 30 s</x:t>
  </x:si>
  <x:si>
    <x:t xml:space="preserve">D</x:t>
  </x:si>
  <x:si>
    <x:t xml:space="preserve">A, C e I</x:t>
  </x:si>
  <x:si>
    <x:t xml:space="preserve">Os arquivos podem ser novamente obtidos das fontes oficiais e processados pelo pipeline</x:t>
  </x:si>
  <x:si>
    <x:t xml:space="preserve">Manter os dados originais facilita auditoria, reprodução do processamento e recuperação da base analítica.</x:t>
  </x:si>
  <x:si>
    <x:t xml:space="preserve">Dica do bloco 4: a pergunta certa não é "tem ACID?", e sim "de que garantia eu posso abrir mão — e quem cobre o buraco?". Relatório pesado não roda no banco de produção.</x:t>
  </x:si>
  <x:si>
    <x:t xml:space="preserve">Bloco 5 — Pipeline de dados do projeto (movimentação e transformação)</x:t>
  </x:si>
  <x:si>
    <x:t xml:space="preserve">Uma linha por etapa, na ordem em que o dado percorre o caminho: fonte → ingestão → armazenamento → transformação → consumo.</x:t>
  </x:si>
  <x:si>
    <x:t xml:space="preserve">Etapa</x:t>
  </x:si>
  <x:si>
    <x:t xml:space="preserve">Origem</x:t>
  </x:si>
  <x:si>
    <x:t xml:space="preserve">Destino</x:t>
  </x:si>
  <x:si>
    <x:t xml:space="preserve">Transformações aplicadas
(limpar, validar, juntar, deduplicar, agregar…)</x:t>
  </x:si>
  <x:si>
    <x:t xml:space="preserve">ETL ou ELT</x:t>
  </x:si>
  <x:si>
    <x:t xml:space="preserve">Lote ou contínuo</x:t>
  </x:si>
  <x:si>
    <x:t xml:space="preserve">Frequência de execução</x:t>
  </x:si>
  <x:si>
    <x:t xml:space="preserve">Custo de um atraso de 1 hora</x:t>
  </x:si>
  <x:si>
    <x:t xml:space="preserve">Ferramenta prevista</x:t>
  </x:si>
  <x:si>
    <x:t xml:space="preserve">Responsável na equipe</x:t>
  </x:si>
  <x:si>
    <x:t xml:space="preserve">Como a equipe sabe que a etapa falhou</x:t>
  </x:si>
  <x:si>
    <x:t xml:space="preserve">Carga diária para análise</x:t>
  </x:si>
  <x:si>
    <x:t xml:space="preserve">Banco principal (PostgreSQL)</x:t>
  </x:si>
  <x:si>
    <x:t xml:space="preserve">Arquivo Parquet no armazenamento de objetos</x:t>
  </x:si>
  <x:si>
    <x:t xml:space="preserve">Deduplicar empréstimos reenviados; derivar duração; anonimizar a matrícula</x:t>
  </x:si>
  <x:si>
    <x:t xml:space="preserve">ETL</x:t>
  </x:si>
  <x:si>
    <x:t xml:space="preserve">lote</x:t>
  </x:si>
  <x:si>
    <x:t xml:space="preserve">diária, às 3h</x:t>
  </x:si>
  <x:si>
    <x:t xml:space="preserve">Baixo — o painel é olhado uma vez por dia</x:t>
  </x:si>
  <x:si>
    <x:t xml:space="preserve">Script Python + cron</x:t>
  </x:si>
  <x:si>
    <x:t xml:space="preserve">Beto Lima</x:t>
  </x:si>
  <x:si>
    <x:t xml:space="preserve">O job registra a contagem de linhas; se cair abaixo de 100, envia alerta no grupo</x:t>
  </x:si>
  <x:si>
    <x:t xml:space="preserve">Dica do bloco 5: extrair e carregar são mecânicos; o trabalho de verdade está no T. Cada transformação é uma decisão de negócio disfarçada de código — documente. Comece em lote e só migre para contínuo quando alguém souber dizer quanto custa o atraso.</x:t>
  </x:si>
  <x:si>
    <x:t xml:space="preserve">Rascunho de ADR — registro da decisão de dados</x:t>
  </x:si>
  <x:si>
    <x:t xml:space="preserve">Este é o insumo do Método de Decisão da disciplina. Preencha em prosa, não em tópicos soltos.</x:t>
  </x:si>
  <x:si>
    <x:t xml:space="preserve">Coluna C = resposta da equipe. Coluna D traz o que se espera em cada campo.</x:t>
  </x:si>
  <x:si>
    <x:t xml:space="preserve">#</x:t>
  </x:si>
  <x:si>
    <x:t xml:space="preserve">Campo do ADR</x:t>
  </x:si>
  <x:si>
    <x:t xml:space="preserve">O que se espera aqui</x:t>
  </x:si>
  <x:si>
    <x:t xml:space="preserve">Título da decisão</x:t>
  </x:si>
  <x:si>
    <x:t xml:space="preserve">Adotar PostgreSQL como banco principal e Parquet como formato da camada analítica.</x:t>
  </x:si>
  <x:si>
    <x:t xml:space="preserve">Frase curta no imperativo: "Adotar PostgreSQL como banco principal".</x:t>
  </x:si>
  <x:si>
    <x:t xml:space="preserve">Data</x:t>
  </x:si>
  <x:si>
    <x:t xml:space="preserve">Data em que a decisão foi tomada.</x:t>
  </x:si>
  <x:si>
    <x:t xml:space="preserve">Status</x:t>
  </x:si>
  <x:si>
    <x:t xml:space="preserve">proposto</x:t>
  </x:si>
  <x:si>
    <x:t xml:space="preserve">proposto | aceito | substituído por (nº).</x:t>
  </x:si>
  <x:si>
    <x:t xml:space="preserve">Quem decidiu</x:t>
  </x:si>
  <x:si>
    <x:t xml:space="preserve">Ana Joyce, Gustavo Alves, Gabriel Lima da Silva, Nathan Abreu, Guilherme Evangelista, Angélica e Davi Araújo.</x:t>
  </x:si>
  <x:si>
    <x:t xml:space="preserve">Nomes de quem participou da decisão.</x:t>
  </x:si>
  <x:si>
    <x:t xml:space="preserve">Contexto</x:t>
  </x:si>
  <x:si>
    <x:t xml:space="preserve">O que está acontecendo no projeto que torna a decisão necessária. Sem contexto o ADR não serve para nada daqui a seis meses.</x:t>
  </x:si>
  <x:si>
    <x:t xml:space="preserve">Requisitos e restrições</x:t>
  </x:si>
  <x:si>
    <x:t xml:space="preserve">O volume esperado é moderado, composto principalmente pelos datasets públicos da UnB e suas atualizações periódicas. O sistema não precisa de processamento em tempo real, pois a oferta de disciplinas é uma decisão realizada em escala semestral. As consultas precisam apresentar resultados em poucos segundos e envolvem principalmente filtros e agregações por disciplina, semestre e turno. A integridade dos relacionamentos entre alunos, turmas e componentes curriculares é importante. Além disso, a equipe possui familiaridade com SQL e precisa manter a solução com custo e complexidade compatíveis com um projeto acadêmico</x:t>
  </x:si>
  <x:si>
    <x:t xml:space="preserve">Volume esperado, latência exigida, garantias necessárias, prazo, custo, o que a equipe já sabe usar.</x:t>
  </x:si>
  <x:si>
    <x:t xml:space="preserve">Padrões de acesso previstos</x:t>
  </x:si>
  <x:si>
    <x:t xml:space="preserve">As consultas mais frequentes (traga da aba 3 Modelos).</x:t>
  </x:si>
  <x:si>
    <x:t xml:space="preserve">Decisão</x:t>
  </x:si>
  <x:si>
    <x:t xml:space="preserve">Adotar PostgreSQL como banco de dados principal, mantendo os dados brutos e analíticos em Parquet quando isso beneficiar as consultas e o processamento analítico</x:t>
  </x:si>
  <x:si>
    <x:t xml:space="preserve">O que foi decidido, em uma frase afirmativa.</x:t>
  </x:si>
  <x:si>
    <x:t xml:space="preserve">Alternativa 1 considerada</x:t>
  </x:si>
  <x:si>
    <x:t xml:space="preserve">MySQL</x:t>
  </x:si>
  <x:si>
    <x:t xml:space="preserve">Nome da alternativa.</x:t>
  </x:si>
  <x:si>
    <x:t xml:space="preserve">  → prós da alternativa 1</x:t>
  </x:si>
  <x:si>
    <x:t xml:space="preserve">O MySQL é um SGBD relacional consolidado, possui bom desempenho para cargas estruturadas e oferece suporte a chaves, relacionamentos e consultas SQL. Também seria suficiente para o volume inicialmente esperado pelo projeto</x:t>
  </x:si>
  <x:si>
    <x:t xml:space="preserve">Onde ela ganharia.</x:t>
  </x:si>
  <x:si>
    <x:t xml:space="preserve">  → contras da alternativa 1</x:t>
  </x:si>
  <x:si>
    <x:t xml:space="preserve">Apesar de atender ao modelo relacional, não oferece uma vantagem concreta sobre o PostgreSQL para as necessidades específicas do projeto. A equipe também pretende realizar análises e utilizar recursos SQL que são bem suportados pelo PostgreSQL</x:t>
  </x:si>
  <x:si>
    <x:t xml:space="preserve">Onde ela perde para a escolhida.</x:t>
  </x:si>
  <x:si>
    <x:t xml:space="preserve">  → por que não foi escolhida</x:t>
  </x:si>
  <x:si>
    <x:t xml:space="preserve">O critério de desempate foi a adequação ao projeto e a familiaridade da equipe com PostgreSQL, sem necessidade de introduzir outra tecnologia relacional que não apresenta benefício relevante para o caso.</x:t>
  </x:si>
  <x:si>
    <x:t xml:space="preserve">O critério concreto que a eliminou.</x:t>
  </x:si>
  <x:si>
    <x:t xml:space="preserve">Alternativa 2 considerada</x:t>
  </x:si>
  <x:si>
    <x:t xml:space="preserve">MongoDB</x:t>
  </x:si>
  <x:si>
    <x:t xml:space="preserve">  → prós da alternativa 2</x:t>
  </x:si>
  <x:si>
    <x:t xml:space="preserve">O MongoDB oferece flexibilidade de esquema e pode ser interessante quando os dados possuem estruturas variadas ou mudam frequentemente. Também permite armazenar documentos diretamente sem exigir um modelo relacional tradicional</x:t>
  </x:si>
  <x:si>
    <x:t xml:space="preserve">  → contras da alternativa 2</x:t>
  </x:si>
  <x:si>
    <x:t xml:space="preserve">O projeto possui relacionamentos importantes entre alunos, turmas, componentes curriculares e períodos. As consultas previstas dependem de cruzamentos e agregações entre essas entidades, tornando o modelo documental menos natural para o domínio e potencialmente aumentando a complexidade das consultas e da manutenção dos dados</x:t>
  </x:si>
  <x:si>
    <x:t xml:space="preserve">O critério concreto foi a necessidade de representar e consultar relacionamentos estruturados entre várias entidades. O modelo relacional do PostgreSQL atende diretamente a esse requisito, enquanto o MongoDB ofereceria flexibilidade que não é necessária para o problema</x:t>
  </x:si>
  <x:si>
    <x:t xml:space="preserve">Evidência que sustenta a decisão</x:t>
  </x:si>
  <x:si>
    <x:t xml:space="preserve">Medição, prova de conceito, benchmark ou fonte consultada. Opinião não é evidência.</x:t>
  </x:si>
  <x:si>
    <x:t xml:space="preserve">Consequências positivas</x:t>
  </x:si>
  <x:si>
    <x:t xml:space="preserve">A equipe poderá representar os relacionamentos do domínio de forma clara, utilizar chaves e restrições para preservar a integridade dos dados e realizar consultas SQL complexas de maneira direta. O uso de Parquet na camada analítica também permite reduzir a quantidade de dados lidos quando as análises utilizarem apenas algumas colunas. A solução permanece relativamente simples e utiliza tecnologias adequadas ao conhecimento da equipe</x:t>
  </x:si>
  <x:si>
    <x:t xml:space="preserve">O que fica mais fácil a partir de agora.</x:t>
  </x:si>
  <x:si>
    <x:t xml:space="preserve">Consequências negativas</x:t>
  </x:si>
  <x:si>
    <x:t xml:space="preserve">A dor aceita conscientemente. Todo ADR sem essa parte está incompleto.</x:t>
  </x:si>
  <x:si>
    <x:t xml:space="preserve">Riscos assumidos</x:t>
  </x:si>
  <x:si>
    <x:t xml:space="preserve">Assume-se o risco de o volume de dados crescer além da estimativa inicial e tornar algumas consultas mais lentas. Também existe o risco de alterações no formato ou nas colunas dos datasets disponibilizados pela UnB quebrarem o pipeline de ingestão. Como os dados são provenientes de fontes externas, a equipe também depende da disponibilidade e da periodicidade de atualização dessas fontes.</x:t>
  </x:si>
  <x:si>
    <x:t xml:space="preserve">Traga da aba Riscos os que decorrem desta decisão.</x:t>
  </x:si>
  <x:si>
    <x:t xml:space="preserve">Como e quando revisitar</x:t>
  </x:si>
  <x:si>
    <x:t xml:space="preserve">A decisão deverá ser revisitada se o volume de dados crescer significativamente, se consultas analíticas ultrapassarem a latência aceitável de aproximadamente cinco segundos, se o custo ou a complexidade de manutenção aumentar ou se surgirem requisitos de processamento em tempo real. Também deverá ser revisitada caso a UnB altere significativamente o formato ou a estrutura dos datasets utilizados pelo projeto</x:t>
  </x:si>
  <x:si>
    <x:t xml:space="preserve">Que sinal (volume, latência, custo, nova exigência) fará a equipe reabrir esta decisão.</x:t>
  </x:si>
</x:sst>
</file>

<file path=xl/styles.xml><?xml version="1.0" encoding="utf-8"?>
<x:styleSheet xmlns:x="http://schemas.openxmlformats.org/spreadsheetml/2006/main">
  <x:numFmts count="1">
    <x:numFmt numFmtId="164" formatCode="dd/mm/yyyy"/>
  </x:numFmts>
  <x:fonts count="29">
    <x:font>
      <x:sz val="11"/>
      <x:color theme="1"/>
      <x:name val="Calibri"/>
      <x:scheme val="minor"/>
    </x:font>
    <x:font>
      <x:b/>
      <x:sz val="14"/>
      <x:color rgb="FFFFFFFF"/>
      <x:name val="Arial"/>
    </x:font>
    <x:font/>
    <x:font>
      <x:i/>
      <x:sz val="9"/>
      <x:color rgb="FF45606B"/>
      <x:name val="Arial"/>
    </x:font>
    <x:font>
      <x:b/>
      <x:sz val="9"/>
      <x:color rgb="FFFFFFFF"/>
      <x:name val="Arial"/>
    </x:font>
    <x:font>
      <x:i/>
      <x:sz val="9"/>
      <x:color rgb="FFD97D25"/>
      <x:name val="Arial"/>
    </x:font>
    <x:font>
      <x:b/>
      <x:sz val="10"/>
      <x:color rgb="FFFFFFFF"/>
      <x:name val="Arial"/>
    </x:font>
    <x:font>
      <x:b/>
      <x:sz val="10"/>
      <x:color rgb="FF12232E"/>
      <x:name val="Arial"/>
    </x:font>
    <x:font>
      <x:sz val="10"/>
      <x:color rgb="FF000000"/>
      <x:name val="Arial"/>
    </x:font>
    <x:font>
      <x:sz val="10"/>
      <x:color theme="1"/>
      <x:name val="Arial"/>
    </x:font>
    <x:font>
      <x:i/>
      <x:sz val="9"/>
      <x:color rgb="FF808080"/>
      <x:name val="Arial"/>
    </x:font>
    <x:font>
      <x:b/>
      <x:sz val="9"/>
      <x:color rgb="FF000000"/>
      <x:name val="Arial"/>
    </x:font>
    <x:font>
      <x:i/>
      <x:sz val="8"/>
      <x:color rgb="FF808080"/>
      <x:name val="Arial"/>
    </x:font>
    <x:font>
      <x:sz val="8"/>
      <x:color rgb="FF0D0D0D"/>
      <x:name val="-apple-system-body"/>
    </x:font>
    <x:font>
      <x:b/>
      <x:i/>
      <x:sz val="9"/>
      <x:color rgb="FF808080"/>
      <x:name val="Arial"/>
    </x:font>
    <x:font>
      <x:sz val="8"/>
      <x:color theme="1"/>
      <x:name val="Calibri"/>
      <x:scheme val="minor"/>
    </x:font>
    <x:font>
      <x:sz val="9"/>
      <x:color rgb="FF0D0D0D"/>
      <x:name val="-apple-system-body"/>
    </x:font>
    <x:font>
      <x:sz val="8"/>
      <x:color rgb="FF0D0D0D"/>
      <x:name val="Arial"/>
    </x:font>
    <x:font>
      <x:b/>
      <x:sz val="9"/>
      <x:color rgb="FF12232E"/>
      <x:name val="Arial"/>
    </x:font>
    <x:font>
      <x:u val="single"/>
      <x:sz val="10"/>
      <x:color rgb="FF000000"/>
      <x:name val="Arial"/>
    </x:font>
    <x:font>
      <x:sz val="9"/>
      <x:color theme="1"/>
      <x:name val="Calibri"/>
      <x:scheme val="minor"/>
    </x:font>
    <x:font>
      <x:b/>
      <x:sz val="10"/>
      <x:color theme="1"/>
      <x:name val="Arial"/>
    </x:font>
    <x:font>
      <x:color theme="1"/>
      <x:name val="Calibri"/>
      <x:scheme val="minor"/>
    </x:font>
    <x:font>
      <x:sz val="9"/>
      <x:color rgb="FF808080"/>
      <x:name val="Arial"/>
    </x:font>
    <x:font>
      <x:sz val="10"/>
      <x:color rgb="FF12232E"/>
      <x:name val="Arial"/>
    </x:font>
    <x:font>
      <x:b/>
      <x:sz val="14"/>
      <x:color theme="1"/>
      <x:name val="Arial"/>
      <x:scheme val="minor"/>
    </x:font>
    <x:font>
      <x:b/>
      <x:sz val="10"/>
      <x:color rgb="FFFFFFFF"/>
      <x:name val="Arial"/>
      <x:scheme val="minor"/>
    </x:font>
    <x:font>
      <x:sz val="11"/>
      <x:color theme="1"/>
      <x:name val="Arial"/>
      <x:scheme val="minor"/>
    </x:font>
    <x:font>
      <x:sz val="10"/>
      <x:color theme="1"/>
      <x:name val="Arial"/>
      <x:scheme val="minor"/>
    </x:font>
  </x:fonts>
  <x:fills count="11">
    <x:fill>
      <x:patternFill patternType="none"/>
    </x:fill>
    <x:fill>
      <x:patternFill patternType="lightGray"/>
    </x:fill>
    <x:fill>
      <x:patternFill patternType="solid">
        <x:fgColor rgb="FF12232E"/>
      </x:patternFill>
    </x:fill>
    <x:fill>
      <x:patternFill patternType="solid">
        <x:fgColor rgb="FF028090"/>
      </x:patternFill>
    </x:fill>
    <x:fill>
      <x:patternFill patternType="solid">
        <x:fgColor rgb="FF1B3A4B"/>
      </x:patternFill>
    </x:fill>
    <x:fill>
      <x:patternFill patternType="solid">
        <x:fgColor rgb="FFFFFDF0"/>
      </x:patternFill>
    </x:fill>
    <x:fill>
      <x:patternFill patternType="solid">
        <x:fgColor rgb="FFF4F4F4"/>
      </x:patternFill>
    </x:fill>
    <x:fill>
      <x:patternFill patternType="solid">
        <x:fgColor rgb="FFFFFFFF"/>
      </x:patternFill>
    </x:fill>
    <x:fill>
      <x:patternFill patternType="solid">
        <x:fgColor rgb="FFEDF4F4"/>
      </x:patternFill>
    </x:fill>
    <x:fill>
      <x:patternFill patternType="solid">
        <x:fgColor rgb="FFD97D25"/>
      </x:patternFill>
    </x:fill>
    <x:fill>
      <x:patternFill patternType="solid">
        <x:fgColor rgb="FF008797"/>
      </x:patternFill>
    </x:fill>
  </x:fills>
  <x:borders count="10">
    <x:border/>
    <x:border>
      <x:left/>
      <x:top/>
      <x:bottom/>
    </x:border>
    <x:border>
      <x:top/>
      <x:bottom/>
    </x:border>
    <x:border>
      <x:right/>
      <x:top/>
      <x:bottom/>
    </x:border>
    <x:border>
      <x:left style="thin">
        <x:color rgb="FFC9DBDB"/>
      </x:left>
      <x:right style="thin">
        <x:color rgb="FFC9DBDB"/>
      </x:right>
      <x:top style="thin">
        <x:color rgb="FFC9DBDB"/>
      </x:top>
      <x:bottom style="thin">
        <x:color rgb="FFC9DBDB"/>
      </x:bottom>
    </x:border>
    <x:border>
      <x:left style="thin">
        <x:color rgb="FFC9DBDB"/>
      </x:left>
      <x:right style="thin">
        <x:color rgb="FFC9DBDB"/>
      </x:right>
      <x:top style="thin">
        <x:color rgb="FFC9DBDB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C9DBDB"/>
      </x:left>
      <x:top style="thin">
        <x:color rgb="FFC9DBDB"/>
      </x:top>
      <x:bottom style="thin">
        <x:color rgb="FFC9DBDB"/>
      </x:bottom>
    </x:border>
    <x:border>
      <x:left style="thin">
        <x:color rgb="FFC9DBDB"/>
      </x:left>
      <x:right style="thin">
        <x:color rgb="FFC9DBDB"/>
      </x:right>
      <x:bottom style="thin">
        <x:color rgb="FFC9DBDB"/>
      </x:bottom>
    </x:border>
    <x:border>
      <x:right style="thin">
        <x:color rgb="FFC9DBDB"/>
      </x:right>
      <x:top style="thin">
        <x:color rgb="FFC9DBDB"/>
      </x:top>
      <x:bottom style="thin">
        <x:color rgb="FFC9DBDB"/>
      </x:bottom>
    </x:border>
  </x:borders>
  <x:cellStyleXfs count="1">
    <x:xf numFmtId="0" fontId="0" fillId="0" borderId="0" applyFont="1" applyAlignment="1"/>
  </x:cellStyleXfs>
  <x:cellXfs count="67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 applyAlignment="1">
      <x:alignment horizontal="left" vertical="center" wrapText="0" shrinkToFit="0"/>
    </x:xf>
    <x:xf numFmtId="0" fontId="2" fillId="0" borderId="2" xfId="0" applyFont="1" applyBorder="1"/>
    <x:xf numFmtId="0" fontId="2" fillId="0" borderId="3" xfId="0" applyFont="1" applyBorder="1"/>
    <x:xf numFmtId="0" fontId="3" fillId="0" borderId="0" xfId="0" applyFont="1" applyAlignment="1">
      <x:alignment horizontal="left" vertical="center" wrapText="0" shrinkToFit="0"/>
    </x:xf>
    <x:xf numFmtId="0" fontId="4" fillId="3" borderId="4" xfId="0" applyFont="1" applyFill="1" applyBorder="1" applyAlignment="1">
      <x:alignment horizontal="left" vertical="center" wrapText="1" shrinkToFit="0"/>
    </x:xf>
    <x:xf numFmtId="0" fontId="5" fillId="0" borderId="0" xfId="0" applyFont="1" applyAlignment="1">
      <x:alignment vertical="bottom" wrapText="0" shrinkToFit="0"/>
    </x:xf>
    <x:xf numFmtId="0" fontId="6" fillId="4" borderId="1" xfId="0" applyFont="1" applyFill="1" applyBorder="1" applyAlignment="1">
      <x:alignment horizontal="left" vertical="center" wrapText="0" shrinkToFit="0"/>
    </x:xf>
    <x:xf numFmtId="0" fontId="7" fillId="0" borderId="4" xfId="0" applyFont="1" applyBorder="1" applyAlignment="1">
      <x:alignment vertical="center" wrapText="1" shrinkToFit="0"/>
    </x:xf>
    <x:xf numFmtId="0" fontId="7" fillId="0" borderId="0" xfId="0" applyFont="1" applyAlignment="1">
      <x:alignment vertical="top" wrapText="1" shrinkToFit="0"/>
    </x:xf>
    <x:xf numFmtId="0" fontId="8" fillId="5" borderId="4" xfId="0" applyFont="1" applyFill="1" applyBorder="1" applyAlignment="1">
      <x:alignment vertical="center" wrapText="1" shrinkToFit="0"/>
    </x:xf>
    <x:xf numFmtId="0" fontId="9" fillId="0" borderId="0" xfId="0" applyFont="1" applyAlignment="1">
      <x:alignment vertical="top" wrapText="1" shrinkToFit="0"/>
    </x:xf>
    <x:xf numFmtId="0" fontId="3" fillId="0" borderId="4" xfId="0" applyFont="1" applyBorder="1" applyAlignment="1">
      <x:alignment vertical="center" wrapText="1" shrinkToFit="0"/>
    </x:xf>
    <x:xf numFmtId="0" fontId="10" fillId="6" borderId="5" xfId="0" applyFont="1" applyFill="1" applyBorder="1" applyAlignment="1">
      <x:alignment horizontal="left" vertical="top" wrapText="1" shrinkToFit="0"/>
    </x:xf>
    <x:xf numFmtId="0" fontId="10" fillId="6" borderId="4" xfId="0" applyFont="1" applyFill="1" applyBorder="1" applyAlignment="1">
      <x:alignment horizontal="left" vertical="top" wrapText="1" shrinkToFit="0"/>
    </x:xf>
    <x:xf numFmtId="0" fontId="11" fillId="5" borderId="4" xfId="0" applyFont="1" applyFill="1" applyBorder="1" applyAlignment="1">
      <x:alignment horizontal="left" vertical="center" wrapText="0" shrinkToFit="0"/>
    </x:xf>
    <x:xf numFmtId="0" fontId="12" fillId="6" borderId="6" xfId="0" applyFont="1" applyFill="1" applyBorder="1" applyAlignment="1">
      <x:alignment horizontal="left" vertical="top" wrapText="1" shrinkToFit="0"/>
    </x:xf>
    <x:xf numFmtId="0" fontId="9" fillId="0" borderId="0" xfId="0" applyFont="1" applyAlignment="1">
      <x:alignment vertical="center" wrapText="1" shrinkToFit="0"/>
    </x:xf>
    <x:xf numFmtId="0" fontId="13" fillId="7" borderId="6" xfId="0" applyFont="1" applyFill="1" applyBorder="1" applyAlignment="1">
      <x:alignment wrapText="1" shrinkToFit="0"/>
    </x:xf>
    <x:xf numFmtId="0" fontId="14" fillId="6" borderId="4" xfId="0" applyFont="1" applyFill="1" applyBorder="1" applyAlignment="1">
      <x:alignment horizontal="left" vertical="center" wrapText="0" shrinkToFit="0"/>
    </x:xf>
    <x:xf numFmtId="0" fontId="10" fillId="6" borderId="7" xfId="0" applyFont="1" applyFill="1" applyBorder="1" applyAlignment="1">
      <x:alignment horizontal="left" vertical="top" wrapText="1" shrinkToFit="0"/>
    </x:xf>
    <x:xf numFmtId="0" fontId="4" fillId="3" borderId="4" xfId="0" applyFont="1" applyFill="1" applyBorder="1" applyAlignment="1">
      <x:alignment horizontal="left" vertical="center" wrapText="0" shrinkToFit="0"/>
    </x:xf>
    <x:xf numFmtId="0" fontId="15" fillId="0" borderId="0" xfId="0" applyFont="1" applyAlignment="1">
      <x:alignment wrapText="1" shrinkToFit="0"/>
    </x:xf>
    <x:xf numFmtId="0" fontId="16" fillId="7" borderId="6" xfId="0" applyFont="1" applyFill="1" applyBorder="1" applyAlignment="1">
      <x:alignment wrapText="1" shrinkToFit="0"/>
    </x:xf>
    <x:xf numFmtId="0" fontId="17" fillId="7" borderId="6" xfId="0" applyFont="1" applyFill="1" applyBorder="1" applyAlignment="1">
      <x:alignment wrapText="1" shrinkToFit="0"/>
    </x:xf>
    <x:xf numFmtId="0" fontId="18" fillId="8" borderId="4" xfId="0" applyFont="1" applyFill="1" applyBorder="1" applyAlignment="1">
      <x:alignment horizontal="left" vertical="center" wrapText="0" shrinkToFit="0"/>
    </x:xf>
    <x:xf numFmtId="0" fontId="16" fillId="7" borderId="6" xfId="0" applyFont="1" applyFill="1" applyBorder="1" applyAlignment="1">
      <x:alignment horizontal="right" wrapText="1" shrinkToFit="0"/>
    </x:xf>
    <x:xf numFmtId="0" fontId="19" fillId="5" borderId="4" xfId="0" applyFont="1" applyFill="1" applyBorder="1" applyAlignment="1">
      <x:alignment vertical="center" wrapText="1" shrinkToFit="0"/>
    </x:xf>
    <x:xf numFmtId="0" fontId="12" fillId="6" borderId="6" xfId="0" applyFont="1" applyFill="1" applyBorder="1" applyAlignment="1">
      <x:alignment horizontal="left" vertical="top" wrapText="1" shrinkToFit="0"/>
    </x:xf>
    <x:xf numFmtId="164" fontId="8" fillId="5" borderId="4" xfId="0" applyNumberFormat="1" applyFont="1" applyFill="1" applyBorder="1" applyAlignment="1">
      <x:alignment horizontal="left" vertical="center" wrapText="1" shrinkToFit="0"/>
    </x:xf>
    <x:xf numFmtId="0" fontId="20" fillId="0" borderId="0" xfId="0" applyFont="1" applyAlignment="1">
      <x:alignment wrapText="1" shrinkToFit="0"/>
    </x:xf>
    <x:xf numFmtId="0" fontId="9" fillId="5" borderId="8" xfId="0" applyFont="1" applyFill="1" applyBorder="1" applyAlignment="1">
      <x:alignment horizontal="left" vertical="top" wrapText="1" shrinkToFit="0"/>
    </x:xf>
    <x:xf numFmtId="0" fontId="9" fillId="5" borderId="4" xfId="0" applyFont="1" applyFill="1" applyBorder="1" applyAlignment="1">
      <x:alignment horizontal="left" vertical="top" wrapText="1" shrinkToFit="0"/>
    </x:xf>
    <x:xf numFmtId="0" fontId="7" fillId="0" borderId="4" xfId="0" applyFont="1" applyBorder="1" applyAlignment="1">
      <x:alignment vertical="center" wrapText="0" shrinkToFit="0"/>
    </x:xf>
    <x:xf numFmtId="0" fontId="9" fillId="0" borderId="4" xfId="0" applyFont="1" applyBorder="1" applyAlignment="1">
      <x:alignment vertical="center" wrapText="1" shrinkToFit="0"/>
    </x:xf>
    <x:xf numFmtId="0" fontId="7" fillId="8" borderId="4" xfId="0" applyFont="1" applyFill="1" applyBorder="1" applyAlignment="1">
      <x:alignment horizontal="center" vertical="center" wrapText="0" shrinkToFit="0"/>
    </x:xf>
    <x:xf numFmtId="0" fontId="9" fillId="0" borderId="4" xfId="0" applyFont="1" applyBorder="1" applyAlignment="1">
      <x:alignment horizontal="center" vertical="center" wrapText="0" shrinkToFit="0"/>
    </x:xf>
    <x:xf numFmtId="0" fontId="21" fillId="8" borderId="4" xfId="0" applyFont="1" applyFill="1" applyBorder="1" applyAlignment="1">
      <x:alignment horizontal="center" vertical="center" wrapText="0" shrinkToFit="0"/>
    </x:xf>
    <x:xf numFmtId="0" fontId="7" fillId="0" borderId="0" xfId="0" applyFont="1" applyAlignment="1">
      <x:alignment horizontal="right" vertical="center" wrapText="0" shrinkToFit="0"/>
    </x:xf>
    <x:xf numFmtId="0" fontId="6" fillId="9" borderId="4" xfId="0" applyFont="1" applyFill="1" applyBorder="1" applyAlignment="1">
      <x:alignment horizontal="center" vertical="center" wrapText="0" shrinkToFit="0"/>
    </x:xf>
    <x:xf numFmtId="0" fontId="4" fillId="9" borderId="4" xfId="0" applyFont="1" applyFill="1" applyBorder="1" applyAlignment="1">
      <x:alignment horizontal="left" vertical="center" wrapText="1" shrinkToFit="0"/>
    </x:xf>
    <x:xf numFmtId="0" fontId="10" fillId="6" borderId="6" xfId="0" applyFont="1" applyFill="1" applyBorder="1" applyAlignment="1">
      <x:alignment horizontal="left" vertical="top" wrapText="1" shrinkToFit="0"/>
    </x:xf>
    <x:xf numFmtId="0" fontId="22" fillId="0" borderId="0" xfId="0" applyFont="1" applyAlignment="1">
      <x:alignment wrapText="1" shrinkToFit="0"/>
    </x:xf>
    <x:xf numFmtId="0" fontId="4" fillId="3" borderId="5" xfId="0" applyFont="1" applyFill="1" applyBorder="1" applyAlignment="1">
      <x:alignment horizontal="left" vertical="center" wrapText="1" shrinkToFit="0"/>
    </x:xf>
    <x:xf numFmtId="0" fontId="23" fillId="0" borderId="4" xfId="0" applyFont="1" applyBorder="1" applyAlignment="1">
      <x:alignment horizontal="center" vertical="center" wrapText="0" shrinkToFit="0"/>
    </x:xf>
    <x:xf numFmtId="0" fontId="7" fillId="0" borderId="7" xfId="0" applyFont="1" applyBorder="1" applyAlignment="1">
      <x:alignment vertical="center" wrapText="1" shrinkToFit="0"/>
    </x:xf>
    <x:xf numFmtId="0" fontId="16" fillId="7" borderId="6" xfId="0" applyFont="1" applyFill="1" applyBorder="1" applyAlignment="1">
      <x:alignment horizontal="left" wrapText="1" shrinkToFit="0"/>
    </x:xf>
    <x:xf numFmtId="0" fontId="3" fillId="0" borderId="9" xfId="0" applyFont="1" applyBorder="1" applyAlignment="1">
      <x:alignment vertical="top" wrapText="1" shrinkToFit="0"/>
    </x:xf>
    <x:xf numFmtId="164" fontId="16" fillId="7" borderId="6" xfId="0" applyNumberFormat="1" applyFont="1" applyFill="1" applyBorder="1" applyAlignment="1">
      <x:alignment horizontal="left" wrapText="1" shrinkToFit="0"/>
    </x:xf>
    <x:xf numFmtId="0" fontId="24" fillId="0" borderId="7" xfId="0" applyFont="1" applyBorder="1" applyAlignment="1">
      <x:alignment vertical="center" wrapText="1" shrinkToFit="0"/>
    </x:xf>
    <x:xf numFmtId="164" fontId="8" fillId="5" borderId="4" xfId="0" applyNumberFormat="1" applyFont="1" applyFill="1" applyBorder="1" applyAlignment="1">
      <x:alignment horizontal="left" vertical="center" wrapText="1"/>
    </x:xf>
    <x:xf numFmtId="0" fontId="12" fillId="6" borderId="6" xfId="0" applyNumberFormat="1" applyFont="1" applyFill="1" applyBorder="1" applyAlignment="1">
      <x:alignment horizontal="left" vertical="top" wrapText="1"/>
    </x:xf>
    <x:xf numFmtId="0" fontId="13" fillId="7" borderId="6" xfId="0" applyNumberFormat="1" applyFont="1" applyFill="1" applyBorder="1" applyAlignment="1">
      <x:alignment wrapText="1"/>
    </x:xf>
    <x:xf numFmtId="0" fontId="13" fillId="7" borderId="6" xfId="0" applyNumberFormat="1" applyFont="1" applyFill="1" applyBorder="1" applyAlignment="1">
      <x:alignment vertical="top" wrapText="1"/>
    </x:xf>
    <x:xf numFmtId="0" fontId="10" fillId="6" borderId="7" xfId="0" applyNumberFormat="1" applyFont="1" applyFill="1" applyBorder="1" applyAlignment="1">
      <x:alignment horizontal="left" vertical="top" wrapText="1"/>
    </x:xf>
    <x:xf numFmtId="0" fontId="16" fillId="7" borderId="6" xfId="0" applyNumberFormat="1" applyFont="1" applyFill="1" applyBorder="1" applyAlignment="1">
      <x:alignment wrapText="1"/>
    </x:xf>
    <x:xf numFmtId="0" fontId="16" fillId="7" borderId="6" xfId="0" applyNumberFormat="1" applyFont="1" applyFill="1" applyBorder="1" applyAlignment="1">
      <x:alignment horizontal="right" wrapText="1"/>
    </x:xf>
    <x:xf numFmtId="0" fontId="16" fillId="7" borderId="6" xfId="0" applyNumberFormat="1" applyFont="1" applyFill="1" applyBorder="1" applyAlignment="1">
      <x:alignment vertical="top" wrapText="1"/>
    </x:xf>
    <x:xf numFmtId="0" fontId="16" fillId="7" borderId="6" xfId="0" applyNumberFormat="1" applyFont="1" applyFill="1" applyBorder="1" applyAlignment="1">
      <x:alignment horizontal="right" vertical="top" wrapText="1"/>
    </x:xf>
    <x:xf numFmtId="0" fontId="25" fillId="0" borderId="0" xfId="0" applyNumberFormat="1" applyFont="1" applyFill="1" applyBorder="1" applyAlignment="1">
      <x:alignment vertical="bottom" wrapText="0"/>
    </x:xf>
    <x:xf numFmtId="0" fontId="0" fillId="10" borderId="0" xfId="0" applyNumberFormat="1" applyFont="1" applyFill="1" applyBorder="1" applyAlignment="1">
      <x:alignment vertical="bottom" wrapText="0"/>
    </x:xf>
    <x:xf numFmtId="0" fontId="26" fillId="10" borderId="0" xfId="0" applyNumberFormat="1" applyFont="1" applyFill="1" applyBorder="1" applyAlignment="1">
      <x:alignment vertical="bottom" wrapText="0"/>
    </x:xf>
    <x:xf numFmtId="0" fontId="26" fillId="10" borderId="0" xfId="0" applyNumberFormat="1" applyFont="1" applyFill="1" applyBorder="1" applyAlignment="1">
      <x:alignment vertical="bottom" wrapText="1"/>
    </x:xf>
    <x:xf numFmtId="0" fontId="27" fillId="0" borderId="0" xfId="0" applyNumberFormat="1" applyFont="1" applyFill="1" applyBorder="1" applyAlignment="1">
      <x:alignment vertical="bottom" wrapText="0"/>
    </x:xf>
    <x:xf numFmtId="0" fontId="28" fillId="0" borderId="0" xfId="0" applyNumberFormat="1" applyFont="1" applyFill="1" applyBorder="1" applyAlignment="1">
      <x:alignment vertical="bottom" wrapText="0"/>
    </x:xf>
    <x:xf numFmtId="0" fontId="28" fillId="0" borderId="0" xfId="0" applyNumberFormat="1" applyFont="1" applyFill="1" applyBorder="1" applyAlignment="1">
      <x:alignment vertical="bottom" wrapText="1"/>
    </x:xf>
    <x:xf numFmtId="0" fontId="28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428037ebf844a3" /><Relationship Type="http://schemas.openxmlformats.org/officeDocument/2006/relationships/theme" Target="/xl/theme/theme1.xml" Id="R1a94b4303f1e469c" /><Relationship Type="http://schemas.openxmlformats.org/officeDocument/2006/relationships/sharedStrings" Target="/xl/sharedStrings.xml" Id="R3031716945744b1b" /><Relationship Type="http://schemas.openxmlformats.org/officeDocument/2006/relationships/worksheet" Target="/xl/worksheets/sheet1.xml" Id="R3907b86b79a0495f" /><Relationship Type="http://schemas.openxmlformats.org/officeDocument/2006/relationships/worksheet" Target="/xl/worksheets/sheet2.xml" Id="R16d17d50120849fc" /><Relationship Type="http://schemas.openxmlformats.org/officeDocument/2006/relationships/worksheet" Target="/xl/worksheets/sheet3.xml" Id="Redfca95e220c4c2d" /><Relationship Type="http://schemas.openxmlformats.org/officeDocument/2006/relationships/worksheet" Target="/xl/worksheets/sheet4.xml" Id="Rb8d3d895947647d5" /><Relationship Type="http://schemas.openxmlformats.org/officeDocument/2006/relationships/worksheet" Target="/xl/worksheets/sheet5.xml" Id="R043c5f7294d645cf" /><Relationship Type="http://schemas.openxmlformats.org/officeDocument/2006/relationships/worksheet" Target="/xl/worksheets/sheet6.xml" Id="Rb57abc313aae4ec8" /><Relationship Type="http://schemas.openxmlformats.org/officeDocument/2006/relationships/worksheet" Target="/xl/worksheets/sheet7.xml" Id="R2e506f0390ec4090" /><Relationship Type="http://schemas.openxmlformats.org/officeDocument/2006/relationships/worksheet" Target="/xl/worksheets/sheet8.xml" Id="R1d249e7db87744c6" /><Relationship Type="http://schemas.openxmlformats.org/officeDocument/2006/relationships/worksheet" Target="/xl/worksheets/sheet9.xml" Id="R075818d98f2c434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github.com/Trajetorias-Academicas-BD2-2026-2/Documentation" TargetMode="External" Id="R6cbb0699401446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34" customWidth="1"/>
    <x:col min="2" max="2" width="62" customWidth="1"/>
    <x:col min="3" max="3" width="30" customWidth="1"/>
    <x:col min="4" max="5" width="18" customWidth="1"/>
    <x:col min="6" max="26" width="8.710000038146973" customWidth="1"/>
  </x:cols>
  <x:sheetData>
    <x:row r="1" ht="30" customHeight="1">
      <x:c r="A1" s="1" t="s">
        <x:v>0</x:v>
      </x:c>
      <x:c r="B1" s="2"/>
      <x:c r="C1" s="2"/>
      <x:c r="D1" s="2"/>
      <x:c r="E1" s="3"/>
    </x:row>
    <x:row r="2" ht="24" customHeight="1">
      <x:c r="A2" s="4" t="s">
        <x:v>1</x:v>
      </x:c>
    </x:row>
    <x:row r="4" ht="21.75" customHeight="1">
      <x:c r="A4" s="7" t="s">
        <x:v>2</x:v>
      </x:c>
      <x:c r="B4" s="2"/>
      <x:c r="C4" s="2"/>
      <x:c r="D4" s="2"/>
      <x:c r="E4" s="3"/>
    </x:row>
    <x:row r="5" ht="30" customHeight="1">
      <x:c r="A5" s="9" t="s">
        <x:v>3</x:v>
      </x:c>
      <x:c r="B5" s="11" t="s">
        <x:v>4</x:v>
      </x:c>
    </x:row>
    <x:row r="6" ht="30" customHeight="1">
      <x:c r="A6" s="9" t="s">
        <x:v>5</x:v>
      </x:c>
      <x:c r="B6" s="11" t="s">
        <x:v>6</x:v>
      </x:c>
    </x:row>
    <x:row r="7" ht="30" customHeight="1">
      <x:c r="A7" s="9" t="s">
        <x:v>7</x:v>
      </x:c>
      <x:c r="B7" s="11" t="s">
        <x:v>8</x:v>
      </x:c>
    </x:row>
    <x:row r="8" ht="30" customHeight="1">
      <x:c r="A8" s="9" t="s">
        <x:v>9</x:v>
      </x:c>
      <x:c r="B8" s="11" t="s">
        <x:v>10</x:v>
      </x:c>
    </x:row>
    <x:row r="9" ht="30" customHeight="1">
      <x:c r="A9" s="9" t="s">
        <x:v>11</x:v>
      </x:c>
      <x:c r="B9" s="11" t="s">
        <x:v>12</x:v>
      </x:c>
    </x:row>
    <x:row r="10" ht="30" customHeight="1">
      <x:c r="A10" s="9" t="s">
        <x:v>13</x:v>
      </x:c>
      <x:c r="B10" s="11" t="s">
        <x:v>14</x:v>
      </x:c>
    </x:row>
    <x:row r="12" ht="21.75" customHeight="1">
      <x:c r="A12" s="7" t="s">
        <x:v>15</x:v>
      </x:c>
      <x:c r="B12" s="2"/>
      <x:c r="C12" s="2"/>
      <x:c r="D12" s="2"/>
      <x:c r="E12" s="3"/>
    </x:row>
    <x:row r="13" ht="19.5" customHeight="1">
      <x:c r="A13" s="15" t="s">
        <x:v>16</x:v>
      </x:c>
      <x:c r="B13" s="17" t="s">
        <x:v>17</x:v>
      </x:c>
    </x:row>
    <x:row r="14" ht="19.5" customHeight="1">
      <x:c r="A14" s="19" t="s">
        <x:v>18</x:v>
      </x:c>
      <x:c r="B14" s="17" t="s">
        <x:v>19</x:v>
      </x:c>
    </x:row>
    <x:row r="15" ht="19.5" customHeight="1">
      <x:c r="A15" s="21" t="s">
        <x:v>20</x:v>
      </x:c>
      <x:c r="B15" s="17" t="s">
        <x:v>21</x:v>
      </x:c>
    </x:row>
    <x:row r="16" ht="19.5" customHeight="1">
      <x:c r="A16" s="25" t="s">
        <x:v>22</x:v>
      </x:c>
      <x:c r="B16" s="17" t="s">
        <x:v>23</x:v>
      </x:c>
    </x:row>
    <x:row r="18" ht="21.75" customHeight="1">
      <x:c r="A18" s="7" t="s">
        <x:v>24</x:v>
      </x:c>
      <x:c r="B18" s="2"/>
      <x:c r="C18" s="2"/>
      <x:c r="D18" s="2"/>
      <x:c r="E18" s="3"/>
    </x:row>
    <x:row r="19" ht="30" customHeight="1">
      <x:c r="A19" s="5" t="s">
        <x:v>25</x:v>
      </x:c>
      <x:c r="B19" s="5" t="s">
        <x:v>26</x:v>
      </x:c>
      <x:c r="C19" s="5" t="s">
        <x:v>27</x:v>
      </x:c>
      <x:c r="D19" s="5" t="s">
        <x:v>28</x:v>
      </x:c>
      <x:c r="E19" s="5" t="s">
        <x:v>29</x:v>
      </x:c>
    </x:row>
    <x:row r="20" ht="24" customHeight="1">
      <x:c r="A20" s="33" t="s">
        <x:v>30</x:v>
      </x:c>
      <x:c r="B20" s="34" t="s">
        <x:v>31</x:v>
      </x:c>
      <x:c r="C20" s="35" t="n">
        <x:f>COUNTA('1 Fontes'!A7:A26)</x:f>
        <x:v>5</x:v>
      </x:c>
      <x:c r="D20" s="36">
        <x:v>4.0</x:v>
      </x:c>
      <x:c r="E20" s="37" t="str">
        <x:f t="shared" ref="E20:E26" si="1">IF(C20&gt;=D20,"OK","Falta preencher")</x:f>
        <x:v>OK</x:v>
      </x:c>
    </x:row>
    <x:row r="21" ht="24" customHeight="1">
      <x:c r="A21" s="33" t="s">
        <x:v>32</x:v>
      </x:c>
      <x:c r="B21" s="34" t="s">
        <x:v>33</x:v>
      </x:c>
      <x:c r="C21" s="35" t="n">
        <x:f>COUNTA('2 Formatos'!A7:A21)</x:f>
        <x:v>7</x:v>
      </x:c>
      <x:c r="D21" s="36">
        <x:v>3.0</x:v>
      </x:c>
      <x:c r="E21" s="37" t="str">
        <x:f t="shared" si="1">IF(C21&gt;=D21,"OK","Falta preencher")</x:f>
        <x:v>OK</x:v>
      </x:c>
    </x:row>
    <x:row r="22" ht="24" customHeight="1">
      <x:c r="A22" s="33" t="s">
        <x:v>34</x:v>
      </x:c>
      <x:c r="B22" s="34" t="s">
        <x:v>35</x:v>
      </x:c>
      <x:c r="C22" s="35" t="n">
        <x:f>COUNTA('3 Modelos'!A7:A21)</x:f>
        <x:v>13</x:v>
      </x:c>
      <x:c r="D22" s="36">
        <x:v>4.0</x:v>
      </x:c>
      <x:c r="E22" s="37" t="str">
        <x:f t="shared" si="1">IF(C22&gt;=D22,"OK","Falta preencher")</x:f>
        <x:v>OK</x:v>
      </x:c>
    </x:row>
    <x:row r="23" ht="24" customHeight="1">
      <x:c r="A23" s="33" t="s">
        <x:v>36</x:v>
      </x:c>
      <x:c r="B23" s="34" t="s">
        <x:v>37</x:v>
      </x:c>
      <x:c r="C23" s="35" t="n">
        <x:f>COUNTA('4 Cargas e Engines'!A7:A16)</x:f>
        <x:v>3</x:v>
      </x:c>
      <x:c r="D23" s="36">
        <x:v>2.0</x:v>
      </x:c>
      <x:c r="E23" s="37" t="str">
        <x:f t="shared" si="1">IF(C23&gt;=D23,"OK","Falta preencher")</x:f>
        <x:v>OK</x:v>
      </x:c>
    </x:row>
    <x:row r="24" ht="24" customHeight="1">
      <x:c r="A24" s="33" t="s">
        <x:v>38</x:v>
      </x:c>
      <x:c r="B24" s="34" t="s">
        <x:v>39</x:v>
      </x:c>
      <x:c r="C24" s="35" t="n">
        <x:f>COUNTA('5 Pipeline'!A7:A21)</x:f>
        <x:v>10</x:v>
      </x:c>
      <x:c r="D24" s="36">
        <x:v>3.0</x:v>
      </x:c>
      <x:c r="E24" s="37" t="str">
        <x:f t="shared" si="1">IF(C24&gt;=D24,"OK","Falta preencher")</x:f>
        <x:v>OK</x:v>
      </x:c>
    </x:row>
    <x:row r="25" ht="24" customHeight="1">
      <x:c r="A25" s="33" t="s">
        <x:v>40</x:v>
      </x:c>
      <x:c r="B25" s="34" t="s">
        <x:v>41</x:v>
      </x:c>
      <x:c r="C25" s="35" t="n">
        <x:f>COUNTA(Riscos!A7:A21)</x:f>
        <x:v>7</x:v>
      </x:c>
      <x:c r="D25" s="36">
        <x:v>3.0</x:v>
      </x:c>
      <x:c r="E25" s="37" t="str">
        <x:f t="shared" si="1">IF(C25&gt;=D25,"OK","Falta preencher")</x:f>
        <x:v>OK</x:v>
      </x:c>
    </x:row>
    <x:row r="26" ht="24" customHeight="1">
      <x:c r="A26" s="33" t="s">
        <x:v>42</x:v>
      </x:c>
      <x:c r="B26" s="34" t="s">
        <x:v>43</x:v>
      </x:c>
      <x:c r="C26" s="35" t="n">
        <x:f>COUNTA(ADR!C6:C30)</x:f>
        <x:v>21</x:v>
      </x:c>
      <x:c r="D26" s="36">
        <x:v>10.0</x:v>
      </x:c>
      <x:c r="E26" s="37" t="str">
        <x:f t="shared" si="1">IF(C26&gt;=D26,"OK","Falta preencher")</x:f>
        <x:v>OK</x:v>
      </x:c>
    </x:row>
    <x:row r="27" ht="15.75" customHeight="1">
      <x:c r="B27" s="38" t="s">
        <x:v>44</x:v>
      </x:c>
      <x:c r="C27" s="39" t="str">
        <x:f>COUNTIF(E20:E26,"OK")&amp;" de 7"</x:f>
        <x:v>7 de 7</x:v>
      </x:c>
    </x:row>
    <x:row r="28" ht="15.75" customHeight="1"/>
    <x:row r="29" ht="19.5" customHeight="1">
      <x:c r="A29" s="4" t="s">
        <x:v>45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2"/>
    <x:mergeCell ref="A4:E4"/>
    <x:mergeCell ref="A12:E12"/>
    <x:mergeCell ref="A18:E18"/>
    <x:mergeCell ref="A29:E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34" customWidth="1"/>
    <x:col min="2" max="2" width="62" customWidth="1"/>
    <x:col min="3" max="3" width="40" customWidth="1"/>
    <x:col min="4" max="26" width="8.710000038146973" customWidth="1"/>
  </x:cols>
  <x:sheetData>
    <x:row r="1" ht="30" customHeight="1">
      <x:c r="A1" s="1" t="s">
        <x:v>46</x:v>
      </x:c>
      <x:c r="B1" s="2"/>
      <x:c r="C1" s="3"/>
    </x:row>
    <x:row r="2" ht="24" customHeight="1">
      <x:c r="A2" s="4" t="s">
        <x:v>47</x:v>
      </x:c>
    </x:row>
    <x:row r="4" ht="25.5" customHeight="1">
      <x:c r="A4" s="5" t="s">
        <x:v>48</x:v>
      </x:c>
      <x:c r="B4" s="5" t="s">
        <x:v>49</x:v>
      </x:c>
      <x:c r="C4" s="5" t="s">
        <x:v>50</x:v>
      </x:c>
    </x:row>
    <x:row r="5" ht="30" customHeight="1">
      <x:c r="A5" s="8" t="s">
        <x:v>51</x:v>
      </x:c>
      <x:c r="B5" s="10" t="s">
        <x:v>52</x:v>
      </x:c>
      <x:c r="C5" s="12" t="s">
        <x:v>53</x:v>
      </x:c>
    </x:row>
    <x:row r="6" ht="30" customHeight="1">
      <x:c r="A6" s="8" t="s">
        <x:v>54</x:v>
      </x:c>
      <x:c r="B6" s="10" t="s">
        <x:v>55</x:v>
      </x:c>
      <x:c r="C6" s="12" t="s">
        <x:v>56</x:v>
      </x:c>
    </x:row>
    <x:row r="7" ht="30" customHeight="1">
      <x:c r="A7" s="8" t="s">
        <x:v>57</x:v>
      </x:c>
      <x:c r="B7" s="10" t="s">
        <x:v>58</x:v>
      </x:c>
      <x:c r="C7" s="12"/>
    </x:row>
    <x:row r="8" ht="24" hidden="0" customHeight="1">
      <x:c r="A8" s="8" t="s">
        <x:v>59</x:v>
      </x:c>
      <x:c r="B8" s="10" t="str">
        <x:v>Integra oferta acadêmica e trajetórias da UnB a séries anuais e comparações de cursos equivalentes com dados do Inep.</x:v>
      </x:c>
      <x:c r="C8" s="12" t="s">
        <x:v>60</x:v>
      </x:c>
    </x:row>
    <x:row r="9">
      <x:c r="A9" s="8" t="s">
        <x:v>61</x:v>
      </x:c>
      <x:c r="B9" s="10" t="s">
        <x:v>62</x:v>
      </x:c>
      <x:c r="C9" s="12"/>
    </x:row>
    <x:row r="10" ht="30" customHeight="1">
      <x:c r="A10" s="8" t="s">
        <x:v>63</x:v>
      </x:c>
      <x:c r="B10" s="10" t="s">
        <x:v>64</x:v>
      </x:c>
      <x:c r="C10" s="12" t="s">
        <x:v>65</x:v>
      </x:c>
    </x:row>
    <x:row r="11" ht="30" customHeight="1">
      <x:c r="A11" s="8" t="s">
        <x:v>66</x:v>
      </x:c>
      <x:c r="B11" s="27" t="s">
        <x:v>67</x:v>
      </x:c>
      <x:c r="C11" s="12"/>
    </x:row>
    <x:row r="12" ht="30" customHeight="1">
      <x:c r="A12" s="8" t="s">
        <x:v>68</x:v>
      </x:c>
      <x:c r="B12" s="50" t="d">
        <x:v>2026-10-05T12:00:00.000Z</x:v>
      </x:c>
      <x:c r="C12" s="12"/>
    </x:row>
    <x:row r="13" ht="30" customHeight="1">
      <x:c r="A13" s="8" t="s">
        <x:v>69</x:v>
      </x:c>
      <x:c r="B13" s="10" t="str">
        <x:v>1.1</x:v>
      </x:c>
      <x:c r="C13" s="12" t="s">
        <x:v>70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C1"/>
    <x:mergeCell ref="A2:C2"/>
  </x:mergeCells>
  <x:hyperlinks>
    <x:hyperlink xmlns:r="http://schemas.openxmlformats.org/officeDocument/2006/relationships" ref="B11" r:id="R6cbb069940144661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14.430000305175781" defaultRowHeight="15"/>
  <x:cols>
    <x:col min="1" max="1" width="5" customWidth="1"/>
    <x:col min="2" max="2" width="26.56999969482422" customWidth="1"/>
    <x:col min="3" max="3" width="18" customWidth="1"/>
    <x:col min="4" max="4" width="20" customWidth="1"/>
    <x:col min="5" max="5" width="26" customWidth="1"/>
    <x:col min="6" max="6" width="20" customWidth="1"/>
    <x:col min="7" max="7" width="16" customWidth="1"/>
    <x:col min="8" max="8" width="18" customWidth="1"/>
    <x:col min="9" max="10" width="12" customWidth="1"/>
    <x:col min="11" max="11" width="16" customWidth="1"/>
    <x:col min="12" max="12" width="14" customWidth="1"/>
    <x:col min="13" max="13" width="22" customWidth="1"/>
    <x:col min="14" max="14" width="16" customWidth="1"/>
    <x:col min="15" max="15" width="30" customWidth="1"/>
    <x:col min="16" max="26" width="8.710000038146973" customWidth="1"/>
  </x:cols>
  <x:sheetData>
    <x:row r="1" ht="30" customHeight="1">
      <x:c r="A1" s="1" t="s">
        <x:v>71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3"/>
    </x:row>
    <x:row r="2" ht="24" customHeight="1">
      <x:c r="A2" s="4" t="s">
        <x:v>72</x:v>
      </x:c>
    </x:row>
    <x:row r="4">
      <x:c r="A4" s="6" t="s">
        <x:v>73</x:v>
      </x:c>
    </x:row>
    <x:row r="5" ht="42" customHeight="1">
      <x:c r="A5" s="5" t="s">
        <x:v>74</x:v>
      </x:c>
      <x:c r="B5" s="5" t="s">
        <x:v>75</x:v>
      </x:c>
      <x:c r="C5" s="5" t="s">
        <x:v>76</x:v>
      </x:c>
      <x:c r="D5" s="5" t="s">
        <x:v>77</x:v>
      </x:c>
      <x:c r="E5" s="5" t="s">
        <x:v>78</x:v>
      </x:c>
      <x:c r="F5" s="5" t="s">
        <x:v>79</x:v>
      </x:c>
      <x:c r="G5" s="5" t="s">
        <x:v>80</x:v>
      </x:c>
      <x:c r="H5" s="5" t="s">
        <x:v>81</x:v>
      </x:c>
      <x:c r="I5" s="5" t="s">
        <x:v>82</x:v>
      </x:c>
      <x:c r="J5" s="5" t="s">
        <x:v>83</x:v>
      </x:c>
      <x:c r="K5" s="5" t="s">
        <x:v>84</x:v>
      </x:c>
      <x:c r="L5" s="5" t="s">
        <x:v>85</x:v>
      </x:c>
      <x:c r="M5" s="5" t="s">
        <x:v>86</x:v>
      </x:c>
      <x:c r="N5" s="5" t="s">
        <x:v>87</x:v>
      </x:c>
      <x:c r="O5" s="5" t="s">
        <x:v>88</x:v>
      </x:c>
    </x:row>
    <x:row r="6" ht="45.75" customHeight="1">
      <x:c r="A6" s="13" t="s">
        <x:v>89</x:v>
      </x:c>
      <x:c r="B6" s="13" t="s">
        <x:v>90</x:v>
      </x:c>
      <x:c r="C6" s="13" t="s">
        <x:v>91</x:v>
      </x:c>
      <x:c r="D6" s="13" t="s">
        <x:v>92</x:v>
      </x:c>
      <x:c r="E6" s="13" t="s">
        <x:v>93</x:v>
      </x:c>
      <x:c r="F6" s="13" t="s">
        <x:v>94</x:v>
      </x:c>
      <x:c r="G6" s="13" t="s">
        <x:v>95</x:v>
      </x:c>
      <x:c r="H6" s="13" t="s">
        <x:v>96</x:v>
      </x:c>
      <x:c r="I6" s="13" t="s">
        <x:v>97</x:v>
      </x:c>
      <x:c r="J6" s="13" t="s">
        <x:v>97</x:v>
      </x:c>
      <x:c r="K6" s="13" t="s">
        <x:v>98</x:v>
      </x:c>
      <x:c r="L6" s="13" t="s">
        <x:v>99</x:v>
      </x:c>
      <x:c r="M6" s="13" t="s">
        <x:v>100</x:v>
      </x:c>
      <x:c r="N6" s="13" t="s">
        <x:v>101</x:v>
      </x:c>
      <x:c r="O6" s="13" t="s">
        <x:v>102</x:v>
      </x:c>
    </x:row>
    <x:row r="7">
      <x:c r="A7" s="16" t="s">
        <x:v>103</x:v>
      </x:c>
      <x:c r="B7" s="18" t="s">
        <x:v>104</x:v>
      </x:c>
      <x:c r="C7" s="18" t="s">
        <x:v>105</x:v>
      </x:c>
      <x:c r="D7" s="18" t="s">
        <x:v>106</x:v>
      </x:c>
      <x:c r="E7" s="18" t="s">
        <x:v>107</x:v>
      </x:c>
      <x:c r="F7" s="18" t="s">
        <x:v>108</x:v>
      </x:c>
      <x:c r="G7" s="18" t="s">
        <x:v>109</x:v>
      </x:c>
      <x:c r="H7" s="18" t="s">
        <x:v>110</x:v>
      </x:c>
      <x:c r="I7" s="18" t="s">
        <x:v>111</x:v>
      </x:c>
      <x:c r="J7" s="18" t="s">
        <x:v>111</x:v>
      </x:c>
      <x:c r="K7" s="18" t="s">
        <x:v>112</x:v>
      </x:c>
      <x:c r="L7" s="18" t="s">
        <x:v>113</x:v>
      </x:c>
      <x:c r="M7" s="18" t="s">
        <x:v>109</x:v>
      </x:c>
      <x:c r="N7" s="18" t="s">
        <x:v>109</x:v>
      </x:c>
      <x:c r="O7" s="18" t="s">
        <x:v>114</x:v>
      </x:c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16" t="s">
        <x:v>115</x:v>
      </x:c>
      <x:c r="B8" s="24" t="s">
        <x:v>116</x:v>
      </x:c>
      <x:c r="C8" s="18" t="s">
        <x:v>105</x:v>
      </x:c>
      <x:c r="D8" s="18" t="s">
        <x:v>106</x:v>
      </x:c>
      <x:c r="E8" s="18" t="s">
        <x:v>117</x:v>
      </x:c>
      <x:c r="F8" s="18" t="s">
        <x:v>108</x:v>
      </x:c>
      <x:c r="G8" s="18" t="s">
        <x:v>109</x:v>
      </x:c>
      <x:c r="H8" s="18" t="s">
        <x:v>118</x:v>
      </x:c>
      <x:c r="I8" s="18" t="s">
        <x:v>111</x:v>
      </x:c>
      <x:c r="J8" s="18" t="s">
        <x:v>112</x:v>
      </x:c>
      <x:c r="K8" s="18" t="s">
        <x:v>112</x:v>
      </x:c>
      <x:c r="L8" s="18" t="s">
        <x:v>109</x:v>
      </x:c>
      <x:c r="M8" s="18" t="s">
        <x:v>109</x:v>
      </x:c>
      <x:c r="N8" s="18" t="s">
        <x:v>109</x:v>
      </x:c>
      <x:c r="O8" s="18" t="s">
        <x:v>119</x:v>
      </x:c>
    </x:row>
    <x:row r="9">
      <x:c r="A9" s="28">
        <x:v>4.0</x:v>
      </x:c>
      <x:c r="B9" s="18" t="s">
        <x:v>120</x:v>
      </x:c>
      <x:c r="C9" s="18" t="s">
        <x:v>105</x:v>
      </x:c>
      <x:c r="D9" s="18" t="s">
        <x:v>106</x:v>
      </x:c>
      <x:c r="E9" s="18" t="s">
        <x:v>121</x:v>
      </x:c>
      <x:c r="F9" s="18" t="s">
        <x:v>122</x:v>
      </x:c>
      <x:c r="G9" s="18" t="s">
        <x:v>109</x:v>
      </x:c>
      <x:c r="H9" s="18" t="s">
        <x:v>110</x:v>
      </x:c>
      <x:c r="I9" s="18" t="s">
        <x:v>111</x:v>
      </x:c>
      <x:c r="J9" s="18" t="s">
        <x:v>112</x:v>
      </x:c>
      <x:c r="K9" s="18" t="s">
        <x:v>112</x:v>
      </x:c>
      <x:c r="L9" s="18" t="s">
        <x:v>123</x:v>
      </x:c>
      <x:c r="M9" s="18" t="s">
        <x:v>124</x:v>
      </x:c>
      <x:c r="N9" s="18" t="s">
        <x:v>125</x:v>
      </x:c>
      <x:c r="O9" s="18" t="s">
        <x:v>126</x:v>
      </x:c>
    </x:row>
    <x:row r="10" ht="120" hidden="0" customHeight="1">
      <x:c r="A10" s="51" t="n">
        <x:v>5</x:v>
      </x:c>
      <x:c r="B10" s="53" t="str">
        <x:v>Censo da Educação Superior — F4</x:v>
      </x:c>
      <x:c r="C10" s="53" t="str">
        <x:v>terceiro</x:v>
      </x:c>
      <x:c r="D10" s="53" t="str">
        <x:v>Inep; dados fornecidos pelas IES</x:v>
      </x:c>
      <x:c r="E10" s="53" t="str">
        <x:v>Cursos, instituições, matrículas, ingressantes e concluintes por ano. Fonte: https://www.gov.br/inep/pt-br/acesso-a-informacao/dados-abertos/microdados/censo-da-educacao-superior</x:v>
      </x:c>
      <x:c r="F10" s="53" t="str">
        <x:v>ZIP; CSV após inspeção do pacote</x:v>
      </x:c>
      <x:c r="G10" s="53" t="str">
        <x:v>A medir após download</x:v>
      </x:c>
      <x:c r="H10" s="53" t="str">
        <x:v>Anual e revisões</x:v>
      </x:c>
      <x:c r="I10" s="53" t="str">
        <x:v>A medir</x:v>
      </x:c>
      <x:c r="J10" s="53" t="str">
        <x:v>A validar</x:v>
      </x:c>
      <x:c r="K10" s="53" t="str">
        <x:v>A validar por edição</x:v>
      </x:c>
      <x:c r="L10" s="53" t="str">
        <x:v>Agregados de curso/instituição</x:v>
      </x:c>
      <x:c r="M10" s="53" t="str">
        <x:v>Não se importam dados individuais</x:v>
      </x:c>
      <x:c r="N10" s="53" t="str">
        <x:v>Preservar original e manifesto enquanto necessários ao projeto</x:v>
      </x:c>
      <x:c r="O10" s="53" t="str">
        <x:v>Impede comparação anual entre instituições; não substitui dados de disciplinas</x:v>
      </x:c>
    </x:row>
    <x:row r="11" ht="120" hidden="0" customHeight="1">
      <x:c r="A11" s="51" t="n">
        <x:v>6</x:v>
      </x:c>
      <x:c r="B11" s="53" t="str">
        <x:v>Indicadores de Trajetória — F5</x:v>
      </x:c>
      <x:c r="C11" s="53" t="str">
        <x:v>terceiro</x:v>
      </x:c>
      <x:c r="D11" s="53" t="str">
        <x:v>Inep; derivados do Censo</x:v>
      </x:c>
      <x:c r="E11" s="53" t="str">
        <x:v>Permanência, conclusão e desistência por curso/coorte/ano. Fonte: https://www.gov.br/inep/pt-br/acesso-a-informacao/dados-abertos/indicadores-educacionais/indicadores-de-trajetoria-da-educacao-superior</x:v>
      </x:c>
      <x:c r="F11" s="53" t="str">
        <x:v>ZIP; tabela a conferir no dicionário</x:v>
      </x:c>
      <x:c r="G11" s="53" t="str">
        <x:v>A medir após download</x:v>
      </x:c>
      <x:c r="H11" s="53" t="str">
        <x:v>Anual e revisões</x:v>
      </x:c>
      <x:c r="I11" s="53" t="str">
        <x:v>A medir</x:v>
      </x:c>
      <x:c r="J11" s="53" t="str">
        <x:v>A validar</x:v>
      </x:c>
      <x:c r="K11" s="53" t="str">
        <x:v>A validar por edição</x:v>
      </x:c>
      <x:c r="L11" s="53" t="str">
        <x:v>Agregados de curso/coorte</x:v>
      </x:c>
      <x:c r="M11" s="53" t="str">
        <x:v>Não se importam dados individuais</x:v>
      </x:c>
      <x:c r="N11" s="53" t="str">
        <x:v>Preservar original e manifesto enquanto necessários ao projeto</x:v>
      </x:c>
      <x:c r="O11" s="53" t="str">
        <x:v>Impede comparação de coortes; download real pendente (HTTP 502)</x:v>
      </x:c>
    </x:row>
    <x:row r="12" ht="33.75" customHeight="1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</x:row>
    <x:row r="13" ht="33.75" customHeight="1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</x:row>
    <x:row r="14" ht="33.75" customHeight="1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</x:row>
    <x:row r="15" ht="33.75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</x:row>
    <x:row r="16" ht="33.75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</x:row>
    <x:row r="17" ht="33.75" customHeight="1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</x:row>
    <x:row r="18" ht="33.75" customHeight="1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</x:row>
    <x:row r="19" ht="33.75" customHeight="1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</x:row>
    <x:row r="20" ht="33.75" customHeight="1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</x:row>
    <x:row r="21" ht="33.75" customHeight="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</x:row>
    <x:row r="22" ht="33.75" customHeight="1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</x:row>
    <x:row r="23" ht="33.75" customHeight="1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</x:row>
    <x:row r="24" ht="33.75" customHeight="1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</x:row>
    <x:row r="25" ht="33.75" customHeight="1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</x:row>
    <x:row r="26" ht="33.75" customHeight="1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</x:row>
    <x:row r="27" ht="15.75" customHeight="1"/>
    <x:row r="28" ht="19.5" customHeight="1">
      <x:c r="A28" s="4" t="s">
        <x:v>127</x:v>
      </x:c>
    </x:row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O1"/>
    <x:mergeCell ref="A2:O2"/>
    <x:mergeCell ref="A4:O4"/>
    <x:mergeCell ref="A28:O2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14.430000305175781" defaultRowHeight="15"/>
  <x:cols>
    <x:col min="1" max="1" width="5" customWidth="1"/>
    <x:col min="2" max="2" width="24" customWidth="1"/>
    <x:col min="3" max="3" width="14" customWidth="1"/>
    <x:col min="4" max="4" width="16" customWidth="1"/>
    <x:col min="5" max="5" width="14" customWidth="1"/>
    <x:col min="6" max="6" width="18" customWidth="1"/>
    <x:col min="7" max="7" width="16" customWidth="1"/>
    <x:col min="8" max="8" width="24" customWidth="1"/>
    <x:col min="9" max="10" width="16" customWidth="1"/>
    <x:col min="11" max="11" width="34" customWidth="1"/>
    <x:col min="12" max="12" width="26" customWidth="1"/>
    <x:col min="13" max="26" width="8.710000038146973" customWidth="1"/>
  </x:cols>
  <x:sheetData>
    <x:row r="1" ht="30" customHeight="1">
      <x:c r="A1" s="1" t="s">
        <x:v>128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3"/>
    </x:row>
    <x:row r="2" ht="24" customHeight="1">
      <x:c r="A2" s="4" t="s">
        <x:v>129</x:v>
      </x:c>
    </x:row>
    <x:row r="4">
      <x:c r="A4" s="6" t="s">
        <x:v>73</x:v>
      </x:c>
    </x:row>
    <x:row r="5" ht="42" customHeight="1">
      <x:c r="A5" s="5" t="s">
        <x:v>74</x:v>
      </x:c>
      <x:c r="B5" s="5" t="s">
        <x:v>130</x:v>
      </x:c>
      <x:c r="C5" s="5" t="s">
        <x:v>131</x:v>
      </x:c>
      <x:c r="D5" s="5" t="s">
        <x:v>132</x:v>
      </x:c>
      <x:c r="E5" s="5" t="s">
        <x:v>133</x:v>
      </x:c>
      <x:c r="F5" s="5" t="s">
        <x:v>134</x:v>
      </x:c>
      <x:c r="G5" s="5" t="s">
        <x:v>135</x:v>
      </x:c>
      <x:c r="H5" s="5" t="s">
        <x:v>136</x:v>
      </x:c>
      <x:c r="I5" s="5" t="s">
        <x:v>137</x:v>
      </x:c>
      <x:c r="J5" s="5" t="s">
        <x:v>138</x:v>
      </x:c>
      <x:c r="K5" s="5" t="s">
        <x:v>139</x:v>
      </x:c>
      <x:c r="L5" s="5" t="s">
        <x:v>140</x:v>
      </x:c>
    </x:row>
    <x:row r="6" ht="45.75" customHeight="1">
      <x:c r="A6" s="14" t="s">
        <x:v>89</x:v>
      </x:c>
      <x:c r="B6" s="13" t="s">
        <x:v>141</x:v>
      </x:c>
      <x:c r="C6" s="13" t="s">
        <x:v>89</x:v>
      </x:c>
      <x:c r="D6" s="13" t="s">
        <x:v>142</x:v>
      </x:c>
      <x:c r="E6" s="13" t="s">
        <x:v>143</x:v>
      </x:c>
      <x:c r="F6" s="13" t="s">
        <x:v>144</x:v>
      </x:c>
      <x:c r="G6" s="13" t="s">
        <x:v>145</x:v>
      </x:c>
      <x:c r="H6" s="13" t="s">
        <x:v>146</x:v>
      </x:c>
      <x:c r="I6" s="13" t="s">
        <x:v>147</x:v>
      </x:c>
      <x:c r="J6" s="13" t="s">
        <x:v>148</x:v>
      </x:c>
      <x:c r="K6" s="13" t="s">
        <x:v>149</x:v>
      </x:c>
      <x:c r="L6" s="13" t="s">
        <x:v>150</x:v>
      </x:c>
    </x:row>
    <x:row r="7">
      <x:c r="A7" s="20" t="s">
        <x:v>103</x:v>
      </x:c>
      <x:c r="B7" s="23" t="s">
        <x:v>151</x:v>
      </x:c>
      <x:c r="C7" s="26">
        <x:v>2.0</x:v>
      </x:c>
      <x:c r="D7" s="23" t="s">
        <x:v>108</x:v>
      </x:c>
      <x:c r="E7" s="23" t="s">
        <x:v>143</x:v>
      </x:c>
      <x:c r="F7" s="23" t="s">
        <x:v>144</x:v>
      </x:c>
      <x:c r="G7" s="23" t="s">
        <x:v>109</x:v>
      </x:c>
      <x:c r="H7" s="23" t="s">
        <x:v>152</x:v>
      </x:c>
      <x:c r="I7" s="23" t="s">
        <x:v>153</x:v>
      </x:c>
      <x:c r="J7" s="23" t="s">
        <x:v>148</x:v>
      </x:c>
      <x:c r="K7" s="23" t="s">
        <x:v>154</x:v>
      </x:c>
      <x:c r="L7" s="23" t="s">
        <x:v>155</x:v>
      </x:c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</x:row>
    <x:row r="8">
      <x:c r="A8" s="20" t="s">
        <x:v>115</x:v>
      </x:c>
      <x:c r="B8" s="23" t="s">
        <x:v>116</x:v>
      </x:c>
      <x:c r="C8" s="26">
        <x:v>3.0</x:v>
      </x:c>
      <x:c r="D8" s="23" t="s">
        <x:v>108</x:v>
      </x:c>
      <x:c r="E8" s="23" t="s">
        <x:v>143</x:v>
      </x:c>
      <x:c r="F8" s="23" t="s">
        <x:v>144</x:v>
      </x:c>
      <x:c r="G8" s="23" t="s">
        <x:v>109</x:v>
      </x:c>
      <x:c r="H8" s="23" t="s">
        <x:v>156</x:v>
      </x:c>
      <x:c r="I8" s="23" t="s">
        <x:v>153</x:v>
      </x:c>
      <x:c r="J8" s="23" t="s">
        <x:v>148</x:v>
      </x:c>
      <x:c r="K8" s="23" t="s">
        <x:v>157</x:v>
      </x:c>
      <x:c r="L8" s="23" t="s">
        <x:v>158</x:v>
      </x:c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</x:row>
    <x:row r="9">
      <x:c r="A9" s="20" t="s">
        <x:v>159</x:v>
      </x:c>
      <x:c r="B9" s="23" t="s">
        <x:v>160</x:v>
      </x:c>
      <x:c r="C9" s="26">
        <x:v>4.0</x:v>
      </x:c>
      <x:c r="D9" s="23" t="s">
        <x:v>122</x:v>
      </x:c>
      <x:c r="E9" s="23" t="s">
        <x:v>143</x:v>
      </x:c>
      <x:c r="F9" s="23" t="s">
        <x:v>144</x:v>
      </x:c>
      <x:c r="G9" s="23" t="s">
        <x:v>109</x:v>
      </x:c>
      <x:c r="H9" s="23" t="s">
        <x:v>161</x:v>
      </x:c>
      <x:c r="I9" s="23" t="s">
        <x:v>153</x:v>
      </x:c>
      <x:c r="J9" s="23" t="s">
        <x:v>148</x:v>
      </x:c>
      <x:c r="K9" s="23" t="s">
        <x:v>162</x:v>
      </x:c>
      <x:c r="L9" s="23" t="s">
        <x:v>163</x:v>
      </x:c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>
      <x:c r="A10" s="20" t="s">
        <x:v>164</x:v>
      </x:c>
      <x:c r="B10" s="23" t="s">
        <x:v>165</x:v>
      </x:c>
      <x:c r="C10" s="26" t="s">
        <x:v>166</x:v>
      </x:c>
      <x:c r="D10" s="23" t="s">
        <x:v>148</x:v>
      </x:c>
      <x:c r="E10" s="23" t="s">
        <x:v>167</x:v>
      </x:c>
      <x:c r="F10" s="23" t="s">
        <x:v>168</x:v>
      </x:c>
      <x:c r="G10" s="23" t="s">
        <x:v>109</x:v>
      </x:c>
      <x:c r="H10" s="23" t="s">
        <x:v>169</x:v>
      </x:c>
      <x:c r="I10" s="23" t="s">
        <x:v>170</x:v>
      </x:c>
      <x:c r="J10" s="23" t="s">
        <x:v>148</x:v>
      </x:c>
      <x:c r="K10" s="23" t="s">
        <x:v>171</x:v>
      </x:c>
      <x:c r="L10" s="23" t="s">
        <x:v>172</x:v>
      </x:c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 ht="95" hidden="0" customHeight="1">
      <x:c r="A11" s="54" t="n">
        <x:v>6</x:v>
      </x:c>
      <x:c r="B11" s="57" t="str">
        <x:v>Censo curso/ano — D5</x:v>
      </x:c>
      <x:c r="C11" s="58" t="str">
        <x:v>5 (F4)</x:v>
      </x:c>
      <x:c r="D11" s="57" t="str">
        <x:v>ZIP original / CSV normalizado</x:v>
      </x:c>
      <x:c r="E11" s="57" t="str">
        <x:v>texto no CSV; binário no ZIP</x:v>
      </x:c>
      <x:c r="F11" s="57" t="str">
        <x:v>linha</x:v>
      </x:c>
      <x:c r="G11" s="57" t="str">
        <x:v>A medir</x:v>
      </x:c>
      <x:c r="H11" s="57" t="str">
        <x:v>Poucas colunas e filtros por curso/ano</x:v>
      </x:c>
      <x:c r="I11" s="57" t="str">
        <x:v>Anual / sob demanda</x:v>
      </x:c>
      <x:c r="J11" s="57" t="str">
        <x:v>CSV e SQL implementados; Parquet opcional</x:v>
      </x:c>
      <x:c r="K11" s="57" t="str">
        <x:v>Preservar original e tratar campos para integrar por código; Parquet depende de medição</x:v>
      </x:c>
      <x:c r="L11" s="57" t="str">
        <x:v>Nenhum ganho medido</x:v>
      </x:c>
    </x:row>
    <x:row r="12" ht="95" hidden="0" customHeight="1">
      <x:c r="A12" s="54" t="n">
        <x:v>7</x:v>
      </x:c>
      <x:c r="B12" s="57" t="str">
        <x:v>Trajetória curso/coorte/ano — D6</x:v>
      </x:c>
      <x:c r="C12" s="58" t="str">
        <x:v>6 (F5)</x:v>
      </x:c>
      <x:c r="D12" s="57" t="str">
        <x:v>ZIP original / CSV normalizado</x:v>
      </x:c>
      <x:c r="E12" s="57" t="str">
        <x:v>texto no CSV; binário no ZIP</x:v>
      </x:c>
      <x:c r="F12" s="57" t="str">
        <x:v>linha</x:v>
      </x:c>
      <x:c r="G12" s="57" t="str">
        <x:v>A medir</x:v>
      </x:c>
      <x:c r="H12" s="57" t="str">
        <x:v>Poucas colunas por curso/coorte/ano</x:v>
      </x:c>
      <x:c r="I12" s="57" t="str">
        <x:v>Anual / sob demanda</x:v>
      </x:c>
      <x:c r="J12" s="57" t="str">
        <x:v>CSV e SQL implementados; Parquet opcional</x:v>
      </x:c>
      <x:c r="K12" s="57" t="str">
        <x:v>Preservar denominadores e taxas; impedir duplicação de coortes sobrepostas</x:v>
      </x:c>
      <x:c r="L12" s="57" t="str">
        <x:v>Nenhum ganho medido</x:v>
      </x:c>
    </x:row>
    <x:row r="13" ht="95" hidden="0" customHeight="1">
      <x:c r="A13" s="54" t="n">
        <x:v>8</x:v>
      </x:c>
      <x:c r="B13" s="57" t="str">
        <x:v>Correspondência de cursos — D7</x:v>
      </x:c>
      <x:c r="C13" s="58" t="str">
        <x:v>Revisão da equipe</x:v>
      </x:c>
      <x:c r="D13" s="57" t="str">
        <x:v>Tabela PostgreSQL</x:v>
      </x:c>
      <x:c r="E13" s="57" t="str">
        <x:v>binário no banco</x:v>
      </x:c>
      <x:c r="F13" s="57" t="str">
        <x:v>linha</x:v>
      </x:c>
      <x:c r="G13" s="57" t="str">
        <x:v>A medir</x:v>
      </x:c>
      <x:c r="H13" s="57" t="str">
        <x:v>Busca por código local e ano</x:v>
      </x:c>
      <x:c r="I13" s="57" t="str">
        <x:v>Após revisão de curso / anual</x:v>
      </x:c>
      <x:c r="J13" s="57" t="str">
        <x:v>Relacional em PostgreSQL</x:v>
      </x:c>
      <x:c r="K13" s="57" t="str">
        <x:v>Guardar evidência da equivalência; campus, grau e modalidade precisam ser conferidos</x:v>
      </x:c>
      <x:c r="L13" s="57" t="str">
        <x:v>Evita cruzamento incorreto apenas por nome</x:v>
      </x:c>
    </x:row>
    <x:row r="14" ht="33.75" customHeight="1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</x:row>
    <x:row r="15" ht="33.75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</x:row>
    <x:row r="16" ht="33.75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</x:row>
    <x:row r="17" ht="33.75" customHeight="1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</x:row>
    <x:row r="18" ht="33.75" customHeight="1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</x:row>
    <x:row r="19" ht="33.75" customHeight="1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</x:row>
    <x:row r="20" ht="33.75" customHeight="1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</x:row>
    <x:row r="21" ht="33.75" customHeight="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</x:row>
    <x:row r="22" ht="15.75" customHeight="1"/>
    <x:row r="23" ht="19.5" customHeight="1">
      <x:c r="A23" s="4" t="s">
        <x:v>173</x:v>
      </x:c>
    </x:row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L1"/>
    <x:mergeCell ref="A2:L2"/>
    <x:mergeCell ref="A4:L4"/>
    <x:mergeCell ref="A23:L2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14.430000305175781" defaultRowHeight="15"/>
  <x:cols>
    <x:col min="1" max="1" width="6.429999828338623" customWidth="1"/>
    <x:col min="2" max="2" width="22" customWidth="1"/>
    <x:col min="3" max="3" width="26" customWidth="1"/>
    <x:col min="4" max="4" width="30" customWidth="1"/>
    <x:col min="5" max="5" width="28" customWidth="1"/>
    <x:col min="6" max="6" width="18" customWidth="1"/>
    <x:col min="7" max="7" width="24" customWidth="1"/>
    <x:col min="8" max="8" width="20" customWidth="1"/>
    <x:col min="9" max="9" width="22" customWidth="1"/>
    <x:col min="10" max="10" width="36" customWidth="1"/>
    <x:col min="11" max="26" width="8.710000038146973" customWidth="1"/>
  </x:cols>
  <x:sheetData>
    <x:row r="1" ht="30" customHeight="1">
      <x:c r="A1" s="1" t="s">
        <x:v>174</x:v>
      </x:c>
      <x:c r="B1" s="2"/>
      <x:c r="C1" s="2"/>
      <x:c r="D1" s="2"/>
      <x:c r="E1" s="2"/>
      <x:c r="F1" s="2"/>
      <x:c r="G1" s="2"/>
      <x:c r="H1" s="2"/>
      <x:c r="I1" s="2"/>
      <x:c r="J1" s="3"/>
    </x:row>
    <x:row r="2" ht="24" customHeight="1">
      <x:c r="A2" s="4" t="s">
        <x:v>175</x:v>
      </x:c>
    </x:row>
    <x:row r="4">
      <x:c r="A4" s="6" t="s">
        <x:v>73</x:v>
      </x:c>
    </x:row>
    <x:row r="5" ht="42" customHeight="1">
      <x:c r="A5" s="5" t="s">
        <x:v>74</x:v>
      </x:c>
      <x:c r="B5" s="5" t="s">
        <x:v>176</x:v>
      </x:c>
      <x:c r="C5" s="5" t="s">
        <x:v>177</x:v>
      </x:c>
      <x:c r="D5" s="5" t="s">
        <x:v>178</x:v>
      </x:c>
      <x:c r="E5" s="5" t="s">
        <x:v>179</x:v>
      </x:c>
      <x:c r="F5" s="5" t="s">
        <x:v>180</x:v>
      </x:c>
      <x:c r="G5" s="5" t="s">
        <x:v>181</x:v>
      </x:c>
      <x:c r="H5" s="5" t="s">
        <x:v>182</x:v>
      </x:c>
      <x:c r="I5" s="5" t="s">
        <x:v>183</x:v>
      </x:c>
      <x:c r="J5" s="5" t="s">
        <x:v>139</x:v>
      </x:c>
    </x:row>
    <x:row r="6" ht="45.75" customHeight="1">
      <x:c r="A6" s="14" t="s">
        <x:v>89</x:v>
      </x:c>
      <x:c r="B6" s="13" t="s">
        <x:v>184</x:v>
      </x:c>
      <x:c r="C6" s="13" t="s">
        <x:v>185</x:v>
      </x:c>
      <x:c r="D6" s="13" t="s">
        <x:v>186</x:v>
      </x:c>
      <x:c r="E6" s="13" t="s">
        <x:v>187</x:v>
      </x:c>
      <x:c r="F6" s="13" t="s">
        <x:v>188</x:v>
      </x:c>
      <x:c r="G6" s="13" t="s">
        <x:v>189</x:v>
      </x:c>
      <x:c r="H6" s="13" t="s">
        <x:v>190</x:v>
      </x:c>
      <x:c r="I6" s="13" t="s">
        <x:v>191</x:v>
      </x:c>
      <x:c r="J6" s="13" t="s">
        <x:v>192</x:v>
      </x:c>
    </x:row>
    <x:row r="7">
      <x:c r="A7" s="20" t="s">
        <x:v>103</x:v>
      </x:c>
      <x:c r="B7" s="23" t="s">
        <x:v>193</x:v>
      </x:c>
      <x:c r="C7" s="23" t="s">
        <x:v>194</x:v>
      </x:c>
      <x:c r="D7" s="23" t="s">
        <x:v>195</x:v>
      </x:c>
      <x:c r="E7" s="23" t="s">
        <x:v>196</x:v>
      </x:c>
      <x:c r="F7" s="23" t="s">
        <x:v>197</x:v>
      </x:c>
      <x:c r="G7" s="23" t="s">
        <x:v>189</x:v>
      </x:c>
      <x:c r="H7" s="23" t="s">
        <x:v>198</x:v>
      </x:c>
      <x:c r="I7" s="23" t="s">
        <x:v>199</x:v>
      </x:c>
      <x:c r="J7" s="23" t="s">
        <x:v>200</x:v>
      </x:c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</x:row>
    <x:row r="8">
      <x:c r="A8" s="20" t="s">
        <x:v>115</x:v>
      </x:c>
      <x:c r="B8" s="23" t="s">
        <x:v>120</x:v>
      </x:c>
      <x:c r="C8" s="23" t="s">
        <x:v>201</x:v>
      </x:c>
      <x:c r="D8" s="23" t="s">
        <x:v>202</x:v>
      </x:c>
      <x:c r="E8" s="23" t="s">
        <x:v>203</x:v>
      </x:c>
      <x:c r="F8" s="23" t="s">
        <x:v>204</x:v>
      </x:c>
      <x:c r="G8" s="23" t="s">
        <x:v>189</x:v>
      </x:c>
      <x:c r="H8" s="23" t="s">
        <x:v>205</x:v>
      </x:c>
      <x:c r="I8" s="23" t="s">
        <x:v>199</x:v>
      </x:c>
      <x:c r="J8" s="23" t="s">
        <x:v>206</x:v>
      </x:c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</x:row>
    <x:row r="9">
      <x:c r="A9" s="20" t="s">
        <x:v>159</x:v>
      </x:c>
      <x:c r="B9" s="23" t="s">
        <x:v>207</x:v>
      </x:c>
      <x:c r="C9" s="23" t="s">
        <x:v>208</x:v>
      </x:c>
      <x:c r="D9" s="23" t="s">
        <x:v>209</x:v>
      </x:c>
      <x:c r="E9" s="23" t="s">
        <x:v>210</x:v>
      </x:c>
      <x:c r="F9" s="23" t="s">
        <x:v>211</x:v>
      </x:c>
      <x:c r="G9" s="23" t="s">
        <x:v>189</x:v>
      </x:c>
      <x:c r="H9" s="23" t="s">
        <x:v>198</x:v>
      </x:c>
      <x:c r="I9" s="23" t="s">
        <x:v>199</x:v>
      </x:c>
      <x:c r="J9" s="23" t="s">
        <x:v>212</x:v>
      </x:c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>
      <x:c r="A10" s="20" t="s">
        <x:v>164</x:v>
      </x:c>
      <x:c r="B10" s="23" t="s">
        <x:v>213</x:v>
      </x:c>
      <x:c r="C10" s="23" t="s">
        <x:v>214</x:v>
      </x:c>
      <x:c r="D10" s="23" t="s">
        <x:v>215</x:v>
      </x:c>
      <x:c r="E10" s="23" t="s">
        <x:v>216</x:v>
      </x:c>
      <x:c r="F10" s="23" t="s">
        <x:v>217</x:v>
      </x:c>
      <x:c r="G10" s="23" t="s">
        <x:v>189</x:v>
      </x:c>
      <x:c r="H10" s="23" t="s">
        <x:v>198</x:v>
      </x:c>
      <x:c r="I10" s="23" t="s">
        <x:v>199</x:v>
      </x:c>
      <x:c r="J10" s="23" t="s">
        <x:v>218</x:v>
      </x:c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>
      <x:c r="A11" s="20" t="s">
        <x:v>219</x:v>
      </x:c>
      <x:c r="B11" s="23" t="s">
        <x:v>220</x:v>
      </x:c>
      <x:c r="C11" s="23" t="s">
        <x:v>221</x:v>
      </x:c>
      <x:c r="D11" s="23" t="s">
        <x:v>222</x:v>
      </x:c>
      <x:c r="E11" s="23" t="s">
        <x:v>223</x:v>
      </x:c>
      <x:c r="F11" s="23" t="s">
        <x:v>224</x:v>
      </x:c>
      <x:c r="G11" s="23" t="s">
        <x:v>189</x:v>
      </x:c>
      <x:c r="H11" s="23" t="s">
        <x:v>198</x:v>
      </x:c>
      <x:c r="I11" s="23" t="s">
        <x:v>199</x:v>
      </x:c>
      <x:c r="J11" s="23" t="s">
        <x:v>225</x:v>
      </x:c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>
      <x:c r="A12" s="20" t="s">
        <x:v>226</x:v>
      </x:c>
      <x:c r="B12" s="23" t="s">
        <x:v>227</x:v>
      </x:c>
      <x:c r="C12" s="23" t="s">
        <x:v>228</x:v>
      </x:c>
      <x:c r="D12" s="23" t="s">
        <x:v>229</x:v>
      </x:c>
      <x:c r="E12" s="23" t="s">
        <x:v>230</x:v>
      </x:c>
      <x:c r="F12" s="23" t="s">
        <x:v>231</x:v>
      </x:c>
      <x:c r="G12" s="23" t="s">
        <x:v>189</x:v>
      </x:c>
      <x:c r="H12" s="23" t="s">
        <x:v>232</x:v>
      </x:c>
      <x:c r="I12" s="23" t="s">
        <x:v>199</x:v>
      </x:c>
      <x:c r="J12" s="23" t="s">
        <x:v>233</x:v>
      </x:c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>
      <x:c r="A13" s="20" t="s">
        <x:v>234</x:v>
      </x:c>
      <x:c r="B13" s="23" t="s">
        <x:v>235</x:v>
      </x:c>
      <x:c r="C13" s="23" t="s">
        <x:v>236</x:v>
      </x:c>
      <x:c r="D13" s="23" t="s">
        <x:v>237</x:v>
      </x:c>
      <x:c r="E13" s="23" t="s">
        <x:v>238</x:v>
      </x:c>
      <x:c r="F13" s="23" t="s">
        <x:v>239</x:v>
      </x:c>
      <x:c r="G13" s="23" t="s">
        <x:v>189</x:v>
      </x:c>
      <x:c r="H13" s="23" t="s">
        <x:v>240</x:v>
      </x:c>
      <x:c r="I13" s="23" t="s">
        <x:v>241</x:v>
      </x:c>
      <x:c r="J13" s="23" t="s">
        <x:v>242</x:v>
      </x:c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 ht="64" hidden="0" customHeight="1">
      <x:c r="A14" s="54" t="n">
        <x:v>9</x:v>
      </x:c>
      <x:c r="B14" s="57" t="str">
        <x:v>Instituição Inep</x:v>
      </x:c>
      <x:c r="C14" s="57" t="str">
        <x:v>Instituição do cadastro oficial</x:v>
      </x:c>
      <x:c r="D14" s="57" t="str">
        <x:v>codigo_ies, nome_ies</x:v>
      </x:c>
      <x:c r="E14" s="57" t="str">
        <x:v>Possui cursos</x:v>
      </x:c>
      <x:c r="F14" s="57" t="str">
        <x:v>codigo_ies</x:v>
      </x:c>
      <x:c r="G14" s="57" t="str">
        <x:v>relacional</x:v>
      </x:c>
      <x:c r="H14" s="57" t="str">
        <x:v>documento; chave-valor</x:v>
      </x:c>
      <x:c r="I14" s="57" t="str">
        <x:v>Normalizado</x:v>
      </x:c>
      <x:c r="J14" s="57" t="str">
        <x:v>Chaves, restrições e junções preservam a granularidade. Implementação em sql/001_extensao_inep.sql.</x:v>
      </x:c>
    </x:row>
    <x:row r="15" ht="64" hidden="0" customHeight="1">
      <x:c r="A15" s="54" t="n">
        <x:v>10</x:v>
      </x:c>
      <x:c r="B15" s="57" t="str">
        <x:v>Curso Inep</x:v>
      </x:c>
      <x:c r="C15" s="57" t="str">
        <x:v>Curso identificado no Inep/e-MEC</x:v>
      </x:c>
      <x:c r="D15" s="57" t="str">
        <x:v>codigo_ies, codigo_curso, nome_curso</x:v>
      </x:c>
      <x:c r="E15" s="57" t="str">
        <x:v>Pertence à IES; possui fatos e mapas</x:v>
      </x:c>
      <x:c r="F15" s="57" t="str">
        <x:v>codigo_ies + codigo_curso</x:v>
      </x:c>
      <x:c r="G15" s="57" t="str">
        <x:v>relacional</x:v>
      </x:c>
      <x:c r="H15" s="57" t="str">
        <x:v>documento; chave-valor</x:v>
      </x:c>
      <x:c r="I15" s="57" t="str">
        <x:v>Normalizado</x:v>
      </x:c>
      <x:c r="J15" s="57" t="str">
        <x:v>Chaves, restrições e junções preservam a granularidade. Implementação em sql/001_extensao_inep.sql.</x:v>
      </x:c>
    </x:row>
    <x:row r="16" ht="64" hidden="0" customHeight="1">
      <x:c r="A16" s="54" t="n">
        <x:v>11</x:v>
      </x:c>
      <x:c r="B16" s="57" t="str">
        <x:v>Curso local</x:v>
      </x:c>
      <x:c r="C16" s="57" t="str">
        <x:v>Curso no sistema da equipe</x:v>
      </x:c>
      <x:c r="D16" s="57" t="str">
        <x:v>codigo_local, nome, campus, grau, modalidade</x:v>
      </x:c>
      <x:c r="E16" s="57" t="str">
        <x:v>Possui correspondências revisadas</x:v>
      </x:c>
      <x:c r="F16" s="57" t="str">
        <x:v>codigo_local</x:v>
      </x:c>
      <x:c r="G16" s="57" t="str">
        <x:v>relacional</x:v>
      </x:c>
      <x:c r="H16" s="57" t="str">
        <x:v>documento; chave-valor</x:v>
      </x:c>
      <x:c r="I16" s="57" t="str">
        <x:v>Normalizado</x:v>
      </x:c>
      <x:c r="J16" s="57" t="str">
        <x:v>Chaves, restrições e junções preservam a granularidade. Implementação em sql/001_extensao_inep.sql.</x:v>
      </x:c>
    </x:row>
    <x:row r="17" ht="64" hidden="0" customHeight="1">
      <x:c r="A17" s="54" t="n">
        <x:v>12</x:v>
      </x:c>
      <x:c r="B17" s="57" t="str">
        <x:v>Mapa de curso</x:v>
      </x:c>
      <x:c r="C17" s="57" t="str">
        <x:v>Correspondência local–Inep em um ano</x:v>
      </x:c>
      <x:c r="D17" s="57" t="str">
        <x:v>codigo_local, ano, codigo_ies, codigo_curso, evidencia</x:v>
      </x:c>
      <x:c r="E17" s="57" t="str">
        <x:v>Relaciona curso local e curso Inep</x:v>
      </x:c>
      <x:c r="F17" s="57" t="str">
        <x:v>codigo_local + ano</x:v>
      </x:c>
      <x:c r="G17" s="57" t="str">
        <x:v>relacional</x:v>
      </x:c>
      <x:c r="H17" s="57" t="str">
        <x:v>documento; chave-valor</x:v>
      </x:c>
      <x:c r="I17" s="57" t="str">
        <x:v>Normalizado</x:v>
      </x:c>
      <x:c r="J17" s="57" t="str">
        <x:v>Chaves, restrições e junções preservam a granularidade. Implementação em sql/001_extensao_inep.sql.</x:v>
      </x:c>
    </x:row>
    <x:row r="18" ht="90" hidden="0" customHeight="1">
      <x:c r="A18" s="54" t="n">
        <x:v>13</x:v>
      </x:c>
      <x:c r="B18" s="57" t="str">
        <x:v>Censo curso/ano</x:v>
      </x:c>
      <x:c r="C18" s="57" t="str">
        <x:v>Contagens e classificação anual de um curso</x:v>
      </x:c>
      <x:c r="D18" s="57" t="str">
        <x:v>ano, matrículas, ingressantes, concluintes, vagas, área, grau, modalidade, categoria, hash</x:v>
      </x:c>
      <x:c r="E18" s="57" t="str">
        <x:v>Pertence a curso Inep</x:v>
      </x:c>
      <x:c r="F18" s="57" t="str">
        <x:v>codigo_ies + codigo_curso + ano</x:v>
      </x:c>
      <x:c r="G18" s="57" t="str">
        <x:v>relacional</x:v>
      </x:c>
      <x:c r="H18" s="57" t="str">
        <x:v>documento; chave-valor</x:v>
      </x:c>
      <x:c r="I18" s="57" t="str">
        <x:v>Normalizado</x:v>
      </x:c>
      <x:c r="J18" s="57" t="str">
        <x:v>Chaves, restrições e junções preservam a granularidade. Implementação em sql/001_extensao_inep.sql.</x:v>
      </x:c>
    </x:row>
    <x:row r="19" ht="90" hidden="0" customHeight="1">
      <x:c r="A19" s="54" t="n">
        <x:v>14</x:v>
      </x:c>
      <x:c r="B19" s="57" t="str">
        <x:v>Trajetória curso/coorte/ano</x:v>
      </x:c>
      <x:c r="C19" s="57" t="str">
        <x:v>Resultados de uma coorte observada em um ano</x:v>
      </x:c>
      <x:c r="D19" s="57" t="str">
        <x:v>ano_ingresso, ano, ingressantes_coorte, taxas, classificações, hash</x:v>
      </x:c>
      <x:c r="E19" s="57" t="str">
        <x:v>Pertence a curso Inep</x:v>
      </x:c>
      <x:c r="F19" s="57" t="str">
        <x:v>codigo_ies + codigo_curso + ano_ingresso + ano</x:v>
      </x:c>
      <x:c r="G19" s="57" t="str">
        <x:v>relacional</x:v>
      </x:c>
      <x:c r="H19" s="57" t="str">
        <x:v>documento; chave-valor</x:v>
      </x:c>
      <x:c r="I19" s="57" t="str">
        <x:v>Normalizado</x:v>
      </x:c>
      <x:c r="J19" s="57" t="str">
        <x:v>Chaves, restrições e junções preservam a granularidade. Implementação em sql/001_extensao_inep.sql.</x:v>
      </x:c>
    </x:row>
    <x:row r="20" ht="33.75" customHeight="1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</x:row>
    <x:row r="21" ht="33.75" customHeight="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</x:row>
    <x:row r="22" ht="15.75" customHeight="1"/>
    <x:row r="23" ht="21.75" customHeight="1">
      <x:c r="A23" s="7" t="s">
        <x:v>243</x:v>
      </x:c>
      <x:c r="B23" s="2"/>
      <x:c r="C23" s="2"/>
      <x:c r="D23" s="2"/>
      <x:c r="E23" s="2"/>
      <x:c r="F23" s="2"/>
      <x:c r="G23" s="2"/>
      <x:c r="H23" s="2"/>
      <x:c r="I23" s="2"/>
      <x:c r="J23" s="3"/>
    </x:row>
    <x:row r="24" ht="37.5" customHeight="1">
      <x:c r="A24" s="40" t="s">
        <x:v>74</x:v>
      </x:c>
      <x:c r="B24" s="40" t="s">
        <x:v>244</x:v>
      </x:c>
      <x:c r="C24" s="40" t="s">
        <x:v>245</x:v>
      </x:c>
      <x:c r="D24" s="40" t="s">
        <x:v>246</x:v>
      </x:c>
      <x:c r="E24" s="40" t="s">
        <x:v>247</x:v>
      </x:c>
      <x:c r="F24" s="40" t="s">
        <x:v>248</x:v>
      </x:c>
      <x:c r="G24" s="40" t="s">
        <x:v>249</x:v>
      </x:c>
      <x:c r="H24" s="40" t="s">
        <x:v>250</x:v>
      </x:c>
      <x:c r="I24" s="40" t="s">
        <x:v>251</x:v>
      </x:c>
      <x:c r="J24" s="40" t="s">
        <x:v>252</x:v>
      </x:c>
    </x:row>
    <x:row r="25" ht="45.75" customHeight="1">
      <x:c r="A25" s="14" t="s">
        <x:v>89</x:v>
      </x:c>
      <x:c r="B25" s="14" t="s">
        <x:v>253</x:v>
      </x:c>
      <x:c r="C25" s="14" t="s">
        <x:v>254</x:v>
      </x:c>
      <x:c r="D25" s="14" t="s">
        <x:v>255</x:v>
      </x:c>
      <x:c r="E25" s="14" t="s">
        <x:v>256</x:v>
      </x:c>
      <x:c r="F25" s="14" t="s">
        <x:v>189</x:v>
      </x:c>
      <x:c r="G25" s="14" t="s">
        <x:v>257</x:v>
      </x:c>
      <x:c r="H25" s="14" t="s">
        <x:v>258</x:v>
      </x:c>
      <x:c r="I25" s="14" t="s">
        <x:v>259</x:v>
      </x:c>
      <x:c r="J25" s="14" t="s">
        <x:v>260</x:v>
      </x:c>
    </x:row>
    <x:row r="26" ht="100" hidden="0" customHeight="1">
      <x:c r="A26" s="54" t="str">
        <x:v>Q9</x:v>
      </x:c>
      <x:c r="B26" s="57" t="str">
        <x:v>Como evoluem ingressantes, matrículas e concluintes em cursos equivalentes?</x:v>
      </x:c>
      <x:c r="C26" s="57" t="str">
        <x:v>Coordenação e ingressantes</x:v>
      </x:c>
      <x:c r="D26" s="57" t="str">
        <x:v>Sob demanda</x:v>
      </x:c>
      <x:c r="E26" s="57" t="str">
        <x:v>agregada</x:v>
      </x:c>
      <x:c r="F26" s="57" t="str">
        <x:v>relacional</x:v>
      </x:c>
      <x:c r="G26" s="57" t="str">
        <x:v>documento</x:v>
      </x:c>
      <x:c r="H26" s="57" t="str">
        <x:v>Agregação curso/ano com grupo comparável</x:v>
      </x:c>
      <x:c r="I26" s="57" t="str">
        <x:v>Comparação entre instituições</x:v>
      </x:c>
      <x:c r="J26" s="57" t="str">
        <x:v>F4; não tratar razão concluintes/ingressantes anual como taxa de conclusão</x:v>
      </x:c>
    </x:row>
    <x:row r="27" ht="100" hidden="0" customHeight="1">
      <x:c r="A27" s="54" t="str">
        <x:v>Q10</x:v>
      </x:c>
      <x:c r="B27" s="57" t="str">
        <x:v>Como a conclusão e a desistência da UnB se comparam às de cursos equivalentes?</x:v>
      </x:c>
      <x:c r="C27" s="57" t="str">
        <x:v>Coordenação e ingressantes</x:v>
      </x:c>
      <x:c r="D27" s="57" t="str">
        <x:v>Sob demanda</x:v>
      </x:c>
      <x:c r="E27" s="57" t="str">
        <x:v>agregada</x:v>
      </x:c>
      <x:c r="F27" s="57" t="str">
        <x:v>relacional</x:v>
      </x:c>
      <x:c r="G27" s="57" t="str">
        <x:v>documento</x:v>
      </x:c>
      <x:c r="H27" s="57" t="str">
        <x:v>Junções por grupo, coorte e ano; ponderação por ingressantes</x:v>
      </x:c>
      <x:c r="I27" s="57" t="str">
        <x:v>Comparação entre instituições</x:v>
      </x:c>
      <x:c r="J27" s="57" t="str">
        <x:v>F5; excluir toda a instituição-alvo e mostrar denominador</x:v>
      </x:c>
    </x:row>
    <x:row r="28" ht="100" hidden="0" customHeight="1">
      <x:c r="A28" s="54" t="str">
        <x:v>Q11</x:v>
      </x:c>
      <x:c r="B28" s="57" t="str">
        <x:v>Como as taxas evoluem dentro da mesma coorte?</x:v>
      </x:c>
      <x:c r="C28" s="57" t="str">
        <x:v>Coordenação</x:v>
      </x:c>
      <x:c r="D28" s="57" t="str">
        <x:v>Sob demanda</x:v>
      </x:c>
      <x:c r="E28" s="57" t="str">
        <x:v>agregada</x:v>
      </x:c>
      <x:c r="F28" s="57" t="str">
        <x:v>relacional</x:v>
      </x:c>
      <x:c r="G28" s="57" t="str">
        <x:v>chave-valor</x:v>
      </x:c>
      <x:c r="H28" s="57" t="str">
        <x:v>Curso, coorte e ano definem a série</x:v>
      </x:c>
      <x:c r="I28" s="57" t="str">
        <x:v>Trajetória por coorte</x:v>
      </x:c>
      <x:c r="J28" s="57" t="str">
        <x:v>F5; não somar taxas ou coortes repetidas</x:v>
      </x:c>
    </x:row>
    <x:row r="29" ht="100" hidden="0" customHeight="1">
      <x:c r="A29" s="54" t="str">
        <x:v>Q12</x:v>
      </x:c>
      <x:c r="B29" s="57" t="str">
        <x:v>Quais cursos ou anos não têm mapa ou referência comparável?</x:v>
      </x:c>
      <x:c r="C29" s="57" t="str">
        <x:v>Equipe e coordenação</x:v>
      </x:c>
      <x:c r="D29" s="57" t="str">
        <x:v>A cada carga</x:v>
      </x:c>
      <x:c r="E29" s="57" t="str">
        <x:v>agregada</x:v>
      </x:c>
      <x:c r="F29" s="57" t="str">
        <x:v>relacional</x:v>
      </x:c>
      <x:c r="G29" s="57" t="str">
        <x:v>documento</x:v>
      </x:c>
      <x:c r="H29" s="57" t="str">
        <x:v>Junções e ausência de correspondência</x:v>
      </x:c>
      <x:c r="I29" s="57" t="str">
        <x:v>Relatório de cobertura</x:v>
      </x:c>
      <x:c r="J29" s="57" t="str">
        <x:v>Ausência não é zero; mapa exige evidência</x:v>
      </x:c>
    </x:row>
    <x:row r="30" ht="33.75" customHeight="1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</x:row>
    <x:row r="31" ht="33.75" customHeight="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</x:row>
    <x:row r="32" ht="33.75" customHeight="1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</x:row>
    <x:row r="33" ht="33.75" customHeight="1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</x:row>
    <x:row r="34" ht="33.75" customHeight="1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</x:row>
    <x:row r="35" ht="33.75" customHeight="1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</x:row>
    <x:row r="36" ht="15.75" customHeight="1"/>
    <x:row r="37" ht="19.5" customHeight="1">
      <x:c r="A37" s="4" t="s">
        <x:v>261</x:v>
      </x:c>
    </x:row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2"/>
    <x:mergeCell ref="A4:J4"/>
    <x:mergeCell ref="A23:J23"/>
    <x:mergeCell ref="A37:J3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14.430000305175781" defaultRowHeight="15"/>
  <x:cols>
    <x:col min="1" max="1" width="5" customWidth="1"/>
    <x:col min="2" max="2" width="20" customWidth="1"/>
    <x:col min="3" max="3" width="26" customWidth="1"/>
    <x:col min="4" max="4" width="16" customWidth="1"/>
    <x:col min="5" max="5" width="20" customWidth="1"/>
    <x:col min="6" max="6" width="14" customWidth="1"/>
    <x:col min="7" max="7" width="16" customWidth="1"/>
    <x:col min="8" max="8" width="18" customWidth="1"/>
    <x:col min="9" max="10" width="22" customWidth="1"/>
    <x:col min="11" max="11" width="24" customWidth="1"/>
    <x:col min="12" max="12" width="16" customWidth="1"/>
    <x:col min="13" max="13" width="34" customWidth="1"/>
    <x:col min="14" max="26" width="8.710000038146973" customWidth="1"/>
  </x:cols>
  <x:sheetData>
    <x:row r="1" ht="30" customHeight="1">
      <x:c r="A1" s="1" t="s">
        <x:v>262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3"/>
    </x:row>
    <x:row r="2" ht="24" customHeight="1">
      <x:c r="A2" s="4" t="s">
        <x:v>263</x:v>
      </x:c>
    </x:row>
    <x:row r="4">
      <x:c r="A4" s="6" t="s">
        <x:v>73</x:v>
      </x:c>
    </x:row>
    <x:row r="5" ht="42" customHeight="1">
      <x:c r="A5" s="5" t="s">
        <x:v>74</x:v>
      </x:c>
      <x:c r="B5" s="5" t="s">
        <x:v>264</x:v>
      </x:c>
      <x:c r="C5" s="5" t="s">
        <x:v>265</x:v>
      </x:c>
      <x:c r="D5" s="5" t="s">
        <x:v>266</x:v>
      </x:c>
      <x:c r="E5" s="5" t="s">
        <x:v>267</x:v>
      </x:c>
      <x:c r="F5" s="5" t="s">
        <x:v>268</x:v>
      </x:c>
      <x:c r="G5" s="5" t="s">
        <x:v>269</x:v>
      </x:c>
      <x:c r="H5" s="5" t="s">
        <x:v>270</x:v>
      </x:c>
      <x:c r="I5" s="5" t="s">
        <x:v>271</x:v>
      </x:c>
      <x:c r="J5" s="5" t="s">
        <x:v>272</x:v>
      </x:c>
      <x:c r="K5" s="5" t="s">
        <x:v>273</x:v>
      </x:c>
      <x:c r="L5" s="5" t="s">
        <x:v>274</x:v>
      </x:c>
      <x:c r="M5" s="5" t="s">
        <x:v>139</x:v>
      </x:c>
    </x:row>
    <x:row r="6" ht="45.75" customHeight="1">
      <x:c r="A6" s="13" t="s">
        <x:v>89</x:v>
      </x:c>
      <x:c r="B6" s="13" t="s">
        <x:v>275</x:v>
      </x:c>
      <x:c r="C6" s="13" t="s">
        <x:v>276</x:v>
      </x:c>
      <x:c r="D6" s="13" t="s">
        <x:v>277</x:v>
      </x:c>
      <x:c r="E6" s="13" t="s">
        <x:v>278</x:v>
      </x:c>
      <x:c r="F6" s="13" t="s">
        <x:v>144</x:v>
      </x:c>
      <x:c r="G6" s="13" t="s">
        <x:v>279</x:v>
      </x:c>
      <x:c r="H6" s="13" t="s">
        <x:v>280</x:v>
      </x:c>
      <x:c r="I6" s="13" t="s">
        <x:v>281</x:v>
      </x:c>
      <x:c r="J6" s="13" t="s">
        <x:v>282</x:v>
      </x:c>
      <x:c r="K6" s="13" t="s">
        <x:v>283</x:v>
      </x:c>
      <x:c r="L6" s="13" t="s">
        <x:v>284</x:v>
      </x:c>
      <x:c r="M6" s="13" t="s">
        <x:v>285</x:v>
      </x:c>
    </x:row>
    <x:row r="7" ht="43.20000076293945" hidden="0" customHeight="1">
      <x:c r="A7" s="41" t="s">
        <x:v>103</x:v>
      </x:c>
      <x:c r="B7" s="23" t="s">
        <x:v>275</x:v>
      </x:c>
      <x:c r="C7" s="23" t="str">
        <x:v>Dados locais; referências Inep; cursos e correspondências revisadas</x:v>
      </x:c>
      <x:c r="D7" s="23" t="s">
        <x:v>277</x:v>
      </x:c>
      <x:c r="E7" s="23" t="s">
        <x:v>278</x:v>
      </x:c>
      <x:c r="F7" s="23" t="s">
        <x:v>144</x:v>
      </x:c>
      <x:c r="G7" s="23" t="s">
        <x:v>286</x:v>
      </x:c>
      <x:c r="H7" s="23" t="s">
        <x:v>98</x:v>
      </x:c>
      <x:c r="I7" s="23" t="s">
        <x:v>287</x:v>
      </x:c>
      <x:c r="J7" s="23" t="s">
        <x:v>288</x:v>
      </x:c>
      <x:c r="K7" s="23" t="s">
        <x:v>283</x:v>
      </x:c>
      <x:c r="L7" s="23" t="s">
        <x:v>109</x:v>
      </x:c>
      <x:c r="M7" s="23" t="s">
        <x:v>289</x:v>
      </x:c>
    </x:row>
    <x:row r="8" ht="54" hidden="0" customHeight="1">
      <x:c r="A8" s="41" t="s">
        <x:v>115</x:v>
      </x:c>
      <x:c r="B8" s="23" t="s">
        <x:v>290</x:v>
      </x:c>
      <x:c r="C8" s="23" t="str">
        <x:v>Indicadores locais; Censo anual; trajetórias por coorte; visões de comparação</x:v>
      </x:c>
      <x:c r="D8" s="23" t="s">
        <x:v>291</x:v>
      </x:c>
      <x:c r="E8" s="23" t="s">
        <x:v>278</x:v>
      </x:c>
      <x:c r="F8" s="23" t="s">
        <x:v>144</x:v>
      </x:c>
      <x:c r="G8" s="23" t="s">
        <x:v>292</x:v>
      </x:c>
      <x:c r="H8" s="23" t="s">
        <x:v>97</x:v>
      </x:c>
      <x:c r="I8" s="23" t="str">
        <x:v>A, C, I e D</x:v>
      </x:c>
      <x:c r="J8" s="23" t="str">
        <x:v>Nenhuma na carga publicada</x:v>
      </x:c>
      <x:c r="K8" s="23" t="str">
        <x:v>Transação: não expor carga parcial; repetir o mesmo SQL não duplica chaves</x:v>
      </x:c>
      <x:c r="L8" s="23" t="s">
        <x:v>109</x:v>
      </x:c>
      <x:c r="M8" s="23" t="s">
        <x:v>293</x:v>
      </x:c>
    </x:row>
    <x:row r="9" ht="32.400001525878906" hidden="0" customHeight="1">
      <x:c r="A9" s="41" t="s">
        <x:v>159</x:v>
      </x:c>
      <x:c r="B9" s="23" t="s">
        <x:v>294</x:v>
      </x:c>
      <x:c r="C9" s="23" t="str">
        <x:v>Originais da UnB e ZIPs do Inep; manifestos com SHA-256</x:v>
      </x:c>
      <x:c r="D9" s="23" t="s">
        <x:v>291</x:v>
      </x:c>
      <x:c r="E9" s="23" t="s">
        <x:v>295</x:v>
      </x:c>
      <x:c r="F9" s="23" t="s">
        <x:v>296</x:v>
      </x:c>
      <x:c r="G9" s="23" t="s">
        <x:v>297</x:v>
      </x:c>
      <x:c r="H9" s="23" t="s">
        <x:v>97</x:v>
      </x:c>
      <x:c r="I9" s="23" t="s">
        <x:v>298</x:v>
      </x:c>
      <x:c r="J9" s="23" t="s">
        <x:v>299</x:v>
      </x:c>
      <x:c r="K9" s="23" t="s">
        <x:v>300</x:v>
      </x:c>
      <x:c r="L9" s="23" t="s">
        <x:v>109</x:v>
      </x:c>
      <x:c r="M9" s="23" t="s">
        <x:v>301</x:v>
      </x:c>
    </x:row>
    <x:row r="10" ht="33.75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</x:row>
    <x:row r="11" ht="33.75" customHeight="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</x:row>
    <x:row r="12" ht="33.75" customHeight="1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</x:row>
    <x:row r="13" ht="33.75" customHeight="1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</x:row>
    <x:row r="14" ht="33.75" customHeight="1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</x:row>
    <x:row r="15" ht="33.75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</x:row>
    <x:row r="16" ht="33.75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</x:row>
    <x:row r="18" ht="19.5" customHeight="1">
      <x:c r="A18" s="4" t="s">
        <x:v>302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M1"/>
    <x:mergeCell ref="A2:M2"/>
    <x:mergeCell ref="A4:M4"/>
    <x:mergeCell ref="A18:M1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14.430000305175781" defaultRowHeight="15"/>
  <x:cols>
    <x:col min="1" max="1" width="5" customWidth="1"/>
    <x:col min="2" max="2" width="22" customWidth="1"/>
    <x:col min="3" max="4" width="20" customWidth="1"/>
    <x:col min="5" max="5" width="34" customWidth="1"/>
    <x:col min="6" max="6" width="12" customWidth="1"/>
    <x:col min="7" max="7" width="14" customWidth="1"/>
    <x:col min="8" max="8" width="18" customWidth="1"/>
    <x:col min="9" max="9" width="26" customWidth="1"/>
    <x:col min="10" max="10" width="18" customWidth="1"/>
    <x:col min="11" max="11" width="16" customWidth="1"/>
    <x:col min="12" max="12" width="28" customWidth="1"/>
    <x:col min="13" max="26" width="8.710000038146973" customWidth="1"/>
  </x:cols>
  <x:sheetData>
    <x:row r="1" ht="30" customHeight="1">
      <x:c r="A1" s="1" t="s">
        <x:v>303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3"/>
    </x:row>
    <x:row r="2" ht="24" customHeight="1">
      <x:c r="A2" s="4" t="s">
        <x:v>304</x:v>
      </x:c>
    </x:row>
    <x:row r="4">
      <x:c r="A4" s="6" t="s">
        <x:v>73</x:v>
      </x:c>
    </x:row>
    <x:row r="5" ht="42" customHeight="1">
      <x:c r="A5" s="5" t="s">
        <x:v>74</x:v>
      </x:c>
      <x:c r="B5" s="5" t="s">
        <x:v>305</x:v>
      </x:c>
      <x:c r="C5" s="5" t="s">
        <x:v>306</x:v>
      </x:c>
      <x:c r="D5" s="5" t="s">
        <x:v>307</x:v>
      </x:c>
      <x:c r="E5" s="5" t="s">
        <x:v>308</x:v>
      </x:c>
      <x:c r="F5" s="5" t="s">
        <x:v>309</x:v>
      </x:c>
      <x:c r="G5" s="5" t="s">
        <x:v>310</x:v>
      </x:c>
      <x:c r="H5" s="5" t="s">
        <x:v>311</x:v>
      </x:c>
      <x:c r="I5" s="5" t="s">
        <x:v>312</x:v>
      </x:c>
      <x:c r="J5" s="5" t="s">
        <x:v>313</x:v>
      </x:c>
      <x:c r="K5" s="5" t="s">
        <x:v>314</x:v>
      </x:c>
      <x:c r="L5" s="5" t="s">
        <x:v>315</x:v>
      </x:c>
    </x:row>
    <x:row r="6" ht="45.75" customHeight="1">
      <x:c r="A6" s="14" t="s">
        <x:v>89</x:v>
      </x:c>
      <x:c r="B6" s="13" t="s">
        <x:v>316</x:v>
      </x:c>
      <x:c r="C6" s="13" t="s">
        <x:v>317</x:v>
      </x:c>
      <x:c r="D6" s="13" t="s">
        <x:v>318</x:v>
      </x:c>
      <x:c r="E6" s="13" t="s">
        <x:v>319</x:v>
      </x:c>
      <x:c r="F6" s="13" t="s">
        <x:v>320</x:v>
      </x:c>
      <x:c r="G6" s="13" t="s">
        <x:v>321</x:v>
      </x:c>
      <x:c r="H6" s="13" t="s">
        <x:v>322</x:v>
      </x:c>
      <x:c r="I6" s="13" t="s">
        <x:v>323</x:v>
      </x:c>
      <x:c r="J6" s="13" t="s">
        <x:v>324</x:v>
      </x:c>
      <x:c r="K6" s="13" t="s">
        <x:v>325</x:v>
      </x:c>
      <x:c r="L6" s="13" t="s">
        <x:v>326</x:v>
      </x:c>
    </x:row>
    <x:row r="7" ht="21.600000381469727" hidden="0" customHeight="1">
      <x:c r="A7" s="54" t="n">
        <x:v>2</x:v>
      </x:c>
      <x:c r="B7" s="57" t="str">
        <x:v>Coleta de dados dos alunos</x:v>
      </x:c>
      <x:c r="C7" s="57" t="str">
        <x:v>Dataset de alunos da UnB</x:v>
      </x:c>
      <x:c r="D7" s="57" t="str">
        <x:v>Armazenamento de dados brutos</x:v>
      </x:c>
      <x:c r="E7" s="57" t="str">
        <x:v>Baixar o arquivo, verificar formato, tamanho, colunas e integridade</x:v>
      </x:c>
      <x:c r="F7" s="57" t="str">
        <x:v>ELT</x:v>
      </x:c>
      <x:c r="G7" s="57" t="str">
        <x:v>Lote</x:v>
      </x:c>
      <x:c r="H7" s="57" t="str">
        <x:v>Semestral / conforme atualização da fonte</x:v>
      </x:c>
      <x:c r="I7" s="57" t="str">
        <x:v>Baixo — os dados não precisam ser atualizados em tempo real</x:v>
      </x:c>
      <x:c r="J7" s="57" t="str">
        <x:v>Python + requisição HTTP / download do arquivo</x:v>
      </x:c>
      <x:c r="K7" s="57" t="str">
        <x:v>A definir</x:v>
      </x:c>
      <x:c r="L7" s="57" t="str">
        <x:v>Registro de erro no processo, arquivo ausente ou alteração inesperada nas colunas</x:v>
      </x:c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 ht="21.600000381469727" hidden="0" customHeight="1">
      <x:c r="A8" s="54" t="n">
        <x:v>3</x:v>
      </x:c>
      <x:c r="B8" s="57" t="str">
        <x:v>Coleta de turmas</x:v>
      </x:c>
      <x:c r="C8" s="57" t="str">
        <x:v>Dataset de Turmas da UnB</x:v>
      </x:c>
      <x:c r="D8" s="57" t="str">
        <x:v>Armazenamento de dados brutos</x:v>
      </x:c>
      <x:c r="E8" s="57" t="str">
        <x:v>Baixar os dados, validar estrutura e preservar o arquivo original</x:v>
      </x:c>
      <x:c r="F8" s="57" t="str">
        <x:v>ELT</x:v>
      </x:c>
      <x:c r="G8" s="57" t="str">
        <x:v>Lote</x:v>
      </x:c>
      <x:c r="H8" s="57" t="str">
        <x:v>Semestral / conforme atualização da fonte</x:v>
      </x:c>
      <x:c r="I8" s="57" t="str">
        <x:v>Baixo — a análise é histórica e não depende de atualização em tempo real</x:v>
      </x:c>
      <x:c r="J8" s="57" t="str">
        <x:v>Python</x:v>
      </x:c>
      <x:c r="K8" s="57" t="str">
        <x:v>A definir</x:v>
      </x:c>
      <x:c r="L8" s="57" t="str">
        <x:v>Falha no download, arquivo vazio ou alteração no esquema esperado</x:v>
      </x:c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 ht="21.600000381469727" hidden="0" customHeight="1">
      <x:c r="A9" s="54" t="n">
        <x:v>4</x:v>
      </x:c>
      <x:c r="B9" s="57" t="str">
        <x:v>Coleta de componentes curriculares</x:v>
      </x:c>
      <x:c r="C9" s="57" t="str">
        <x:v>Dataset de Componente Curricular da UnB</x:v>
      </x:c>
      <x:c r="D9" s="57" t="str">
        <x:v>Armazenamento de dados brutos</x:v>
      </x:c>
      <x:c r="E9" s="57" t="str">
        <x:v>Baixar, validar formato e verificar presença da chave do componente curricular</x:v>
      </x:c>
      <x:c r="F9" s="57" t="str">
        <x:v>ELT</x:v>
      </x:c>
      <x:c r="G9" s="57" t="str">
        <x:v>Lote</x:v>
      </x:c>
      <x:c r="H9" s="57" t="str">
        <x:v>Eventual / conforme atualização da fonte</x:v>
      </x:c>
      <x:c r="I9" s="57" t="str">
        <x:v>Baixo</x:v>
      </x:c>
      <x:c r="J9" s="57" t="str">
        <x:v>Python</x:v>
      </x:c>
      <x:c r="K9" s="57" t="str">
        <x:v>A definir</x:v>
      </x:c>
      <x:c r="L9" s="57" t="str">
        <x:v>Erro de download, arquivo vazio ou ausência das colunas obrigatórias</x:v>
      </x:c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 ht="85" hidden="0" customHeight="1">
      <x:c r="A10" s="54" t="n">
        <x:v>5</x:v>
      </x:c>
      <x:c r="B10" s="57" t="str">
        <x:v>P9 — Coleta do Censo</x:v>
      </x:c>
      <x:c r="C10" s="57" t="str">
        <x:v>F4 / Inep</x:v>
      </x:c>
      <x:c r="D10" s="57" t="str">
        <x:v>Dados brutos versionados</x:v>
      </x:c>
      <x:c r="E10" s="57" t="str">
        <x:v>Baixar ZIP, validar integridade, registrar URL, edição, bytes, hash e horário</x:v>
      </x:c>
      <x:c r="F10" s="57" t="str">
        <x:v>ELT</x:v>
      </x:c>
      <x:c r="G10" s="57" t="str">
        <x:v>Lote</x:v>
      </x:c>
      <x:c r="H10" s="57" t="str">
        <x:v>Anual / revisões</x:v>
      </x:c>
      <x:c r="I10" s="57" t="str">
        <x:v>Baixo</x:v>
      </x:c>
      <x:c r="J10" s="57" t="str">
        <x:v>Python; fetch --source censo</x:v>
      </x:c>
      <x:c r="K10" s="57" t="str">
        <x:v>A definir</x:v>
      </x:c>
      <x:c r="L10" s="57" t="str">
        <x:v>Erro HTTP / ZIP inválido / manifesto de falha</x:v>
      </x:c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 ht="85" hidden="0" customHeight="1">
      <x:c r="A11" s="54" t="n">
        <x:v>6</x:v>
      </x:c>
      <x:c r="B11" s="57" t="str">
        <x:v>P10 — Coleta de trajetórias</x:v>
      </x:c>
      <x:c r="C11" s="57" t="str">
        <x:v>F5 / Inep</x:v>
      </x:c>
      <x:c r="D11" s="57" t="str">
        <x:v>Dados brutos versionados</x:v>
      </x:c>
      <x:c r="E11" s="57" t="str">
        <x:v>Baixar edição por coorte e registrar janela de acompanhamento e hash</x:v>
      </x:c>
      <x:c r="F11" s="57" t="str">
        <x:v>ELT</x:v>
      </x:c>
      <x:c r="G11" s="57" t="str">
        <x:v>Lote</x:v>
      </x:c>
      <x:c r="H11" s="57" t="str">
        <x:v>Anual / revisões</x:v>
      </x:c>
      <x:c r="I11" s="57" t="str">
        <x:v>Baixo</x:v>
      </x:c>
      <x:c r="J11" s="57" t="str">
        <x:v>Python; fetch --source trajetoria</x:v>
      </x:c>
      <x:c r="K11" s="57" t="str">
        <x:v>A definir</x:v>
      </x:c>
      <x:c r="L11" s="57" t="str">
        <x:v>Erro HTTP / ZIP inválido / coorte indisponível</x:v>
      </x:c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 ht="85" hidden="0" customHeight="1">
      <x:c r="A12" s="54" t="n">
        <x:v>7</x:v>
      </x:c>
      <x:c r="B12" s="57" t="str">
        <x:v>Validação e limpeza</x:v>
      </x:c>
      <x:c r="C12" s="57" t="str">
        <x:v>F1–F5: dados locais e Inep</x:v>
      </x:c>
      <x:c r="D12" s="57" t="str">
        <x:v>Base de dados tratada</x:v>
      </x:c>
      <x:c r="E12" s="57" t="str">
        <x:v>Validar schema, tipos, chaves, duplicatas, anos, coortes, taxas e denominadores; mapa de colunas revisado</x:v>
      </x:c>
      <x:c r="F12" s="57" t="str">
        <x:v>ETL</x:v>
      </x:c>
      <x:c r="G12" s="57" t="str">
        <x:v>Lote</x:v>
      </x:c>
      <x:c r="H12" s="57" t="str">
        <x:v>Após cada atualização das fontes</x:v>
      </x:c>
      <x:c r="I12" s="57" t="str">
        <x:v>Baixo — o processamento pode ser reexecutado</x:v>
      </x:c>
      <x:c r="J12" s="57" t="str">
        <x:v>Python + Pandas</x:v>
      </x:c>
      <x:c r="K12" s="57" t="str">
        <x:v>A definir</x:v>
      </x:c>
      <x:c r="L12" s="57" t="str">
        <x:v>Relatório de validação registra quantidade de registros processados, erros e duplicidades</x:v>
      </x:c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 ht="85" hidden="0" customHeight="1">
      <x:c r="A13" s="54" t="n">
        <x:v>8</x:v>
      </x:c>
      <x:c r="B13" s="57" t="str">
        <x:v>Integração dos dados</x:v>
      </x:c>
      <x:c r="C13" s="57" t="str">
        <x:v>Dados tratados de alunos, turmas e componentes</x:v>
      </x:c>
      <x:c r="D13" s="57" t="str">
        <x:v>Banco PostgreSQL</x:v>
      </x:c>
      <x:c r="E13" s="57" t="str">
        <x:v>Integrar dados locais e carregar schema inep em transação; revisar correspondência de cursos por ano</x:v>
      </x:c>
      <x:c r="F13" s="57" t="str">
        <x:v>ETL</x:v>
      </x:c>
      <x:c r="G13" s="57" t="str">
        <x:v>Lote</x:v>
      </x:c>
      <x:c r="H13" s="57" t="str">
        <x:v>Após cada atualização das fontes</x:v>
      </x:c>
      <x:c r="I13" s="57" t="str">
        <x:v>Baixo</x:v>
      </x:c>
      <x:c r="J13" s="57" t="str">
        <x:v>Python + PostgreSQL</x:v>
      </x:c>
      <x:c r="K13" s="57" t="str">
        <x:v>A definir</x:v>
      </x:c>
      <x:c r="L13" s="57" t="str">
        <x:v>Verificação das chaves estrangeiras, quantidade de registros relacionados e registros sem correspondência</x:v>
      </x:c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 ht="85" hidden="0" customHeight="1">
      <x:c r="A14" s="54" t="n">
        <x:v>9</x:v>
      </x:c>
      <x:c r="B14" s="57" t="str">
        <x:v>Carga da base analítica</x:v>
      </x:c>
      <x:c r="C14" s="57" t="str">
        <x:v>Dados integrados</x:v>
      </x:c>
      <x:c r="D14" s="57" t="str">
        <x:v>Base analítica PostgreSQL / arquivos Parquet</x:v>
      </x:c>
      <x:c r="E14" s="57" t="str">
        <x:v>Preparar fatos locais, curso/ano e curso/coorte/ano; manter granularidades separadas</x:v>
      </x:c>
      <x:c r="F14" s="57" t="str">
        <x:v>ELT</x:v>
      </x:c>
      <x:c r="G14" s="57" t="str">
        <x:v>Lote</x:v>
      </x:c>
      <x:c r="H14" s="57" t="str">
        <x:v>Após cada atualização dos dados</x:v>
      </x:c>
      <x:c r="I14" s="57" t="str">
        <x:v>Baixo</x:v>
      </x:c>
      <x:c r="J14" s="57" t="str">
        <x:v>Python + PostgreSQL + Parquet</x:v>
      </x:c>
      <x:c r="K14" s="57" t="str">
        <x:v>A definir</x:v>
      </x:c>
      <x:c r="L14" s="57" t="str">
        <x:v>Comparação entre quantidade de registros de entrada e saída e validação dos indicadores gerados</x:v>
      </x:c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 ht="85" hidden="0" customHeight="1">
      <x:c r="A15" s="54" t="n">
        <x:v>10</x:v>
      </x:c>
      <x:c r="B15" s="57" t="str">
        <x:v>Geração de indicadores</x:v>
      </x:c>
      <x:c r="C15" s="57" t="str">
        <x:v>Base analítica</x:v>
      </x:c>
      <x:c r="D15" s="57" t="str">
        <x:v>Dashboard / sistema de apoio à decisão</x:v>
      </x:c>
      <x:c r="E15" s="57" t="str">
        <x:v>Calcular Q1–Q12; referências ponderadas e cobertura; não somar estoques ou taxas</x:v>
      </x:c>
      <x:c r="F15" s="57" t="str">
        <x:v>ELT</x:v>
      </x:c>
      <x:c r="G15" s="57" t="str">
        <x:v>Lote</x:v>
      </x:c>
      <x:c r="H15" s="57" t="str">
        <x:v>Semestral / sob demanda</x:v>
      </x:c>
      <x:c r="I15" s="57" t="str">
        <x:v>Baixo</x:v>
      </x:c>
      <x:c r="J15" s="57" t="str">
        <x:v>SQL + Python</x:v>
      </x:c>
      <x:c r="K15" s="57" t="str">
        <x:v>A definir</x:v>
      </x:c>
      <x:c r="L15" s="57" t="str">
        <x:v>Testes de consistência dos indicadores e registro de erro na execução das consultas</x:v>
      </x:c>
    </x:row>
    <x:row r="16" ht="85" hidden="0" customHeight="1">
      <x:c r="A16" s="54" t="n">
        <x:v>11</x:v>
      </x:c>
      <x:c r="B16" s="57" t="str">
        <x:v>Consumo dos dados</x:v>
      </x:c>
      <x:c r="C16" s="57" t="str">
        <x:v>Indicadores da base analítica</x:v>
      </x:c>
      <x:c r="D16" s="57" t="str">
        <x:v>Coordenador de curso</x:v>
      </x:c>
      <x:c r="E16" s="57" t="str">
        <x:v>Apresentar filtros, origem, coorte, denominador e cobertura no dashboard da equipe</x:v>
      </x:c>
      <x:c r="F16" s="57" t="str">
        <x:v>Não se aplica</x:v>
      </x:c>
      <x:c r="G16" s="57" t="str">
        <x:v>Sob demanda</x:v>
      </x:c>
      <x:c r="H16" s="57" t="str">
        <x:v>Conforme consulta do usuário</x:v>
      </x:c>
      <x:c r="I16" s="57" t="str">
        <x:v>Médio — atraso afeta a experiência do usuário, mas não interrompe a coleta</x:v>
      </x:c>
      <x:c r="J16" s="57" t="str">
        <x:v>Aplicação web / dashboard</x:v>
      </x:c>
      <x:c r="K16" s="57" t="str">
        <x:v>A definir</x:v>
      </x:c>
      <x:c r="L16" s="57" t="str">
        <x:v>Monitoramento da aplicação e mensagens de erro quando os indicadores não puderem ser carregados</x:v>
      </x:c>
    </x:row>
    <x:row r="17" ht="33.75" customHeight="1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</x:row>
    <x:row r="18" ht="33.75" customHeight="1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</x:row>
    <x:row r="19" ht="33.75" customHeight="1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</x:row>
    <x:row r="20" ht="33.75" customHeight="1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</x:row>
    <x:row r="21" ht="33.75" customHeight="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</x:row>
    <x:row r="22" ht="15.75" customHeight="1"/>
    <x:row r="23" ht="19.5" customHeight="1">
      <x:c r="A23" s="4" t="s">
        <x:v>327</x:v>
      </x:c>
    </x:row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L1"/>
    <x:mergeCell ref="A2:L2"/>
    <x:mergeCell ref="A4:L4"/>
    <x:mergeCell ref="A23:L2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ColWidth="14.430000305175781" defaultRowHeight="15"/>
  <x:cols>
    <x:col min="1" max="1" width="6" customWidth="1"/>
    <x:col min="2" max="2" width="30" customWidth="1"/>
    <x:col min="3" max="3" width="70" customWidth="1"/>
    <x:col min="4" max="4" width="44" customWidth="1"/>
    <x:col min="5" max="26" width="8.710000038146973" customWidth="1"/>
  </x:cols>
  <x:sheetData>
    <x:row r="1" ht="30" customHeight="1">
      <x:c r="A1" s="1" t="s">
        <x:v>328</x:v>
      </x:c>
      <x:c r="B1" s="2"/>
      <x:c r="C1" s="2"/>
      <x:c r="D1" s="3"/>
    </x:row>
    <x:row r="2" ht="24" customHeight="1">
      <x:c r="A2" s="4" t="s">
        <x:v>329</x:v>
      </x:c>
    </x:row>
    <x:row r="4">
      <x:c r="A4" s="6" t="s">
        <x:v>330</x:v>
      </x:c>
    </x:row>
    <x:row r="5" ht="25.5" customHeight="1">
      <x:c r="A5" s="5" t="s">
        <x:v>331</x:v>
      </x:c>
      <x:c r="B5" s="5" t="s">
        <x:v>332</x:v>
      </x:c>
      <x:c r="C5" s="43" t="s">
        <x:v>49</x:v>
      </x:c>
      <x:c r="D5" s="5" t="s">
        <x:v>333</x:v>
      </x:c>
    </x:row>
    <x:row r="6" ht="39.75" customHeight="1">
      <x:c r="A6" s="44">
        <x:v>1.0</x:v>
      </x:c>
      <x:c r="B6" s="45" t="s">
        <x:v>334</x:v>
      </x:c>
      <x:c r="C6" s="46" t="s">
        <x:v>335</x:v>
      </x:c>
      <x:c r="D6" s="47" t="s">
        <x:v>336</x:v>
      </x:c>
    </x:row>
    <x:row r="7" ht="39.75" customHeight="1">
      <x:c r="A7" s="44">
        <x:v>2.0</x:v>
      </x:c>
      <x:c r="B7" s="45" t="s">
        <x:v>337</x:v>
      </x:c>
      <x:c r="C7" s="48">
        <x:v>46267.0</x:v>
      </x:c>
      <x:c r="D7" s="47" t="s">
        <x:v>338</x:v>
      </x:c>
    </x:row>
    <x:row r="8" ht="39.75" customHeight="1">
      <x:c r="A8" s="44">
        <x:v>3.0</x:v>
      </x:c>
      <x:c r="B8" s="45" t="s">
        <x:v>339</x:v>
      </x:c>
      <x:c r="C8" s="46" t="s">
        <x:v>340</x:v>
      </x:c>
      <x:c r="D8" s="47" t="s">
        <x:v>341</x:v>
      </x:c>
    </x:row>
    <x:row r="9">
      <x:c r="A9" s="44">
        <x:v>4.0</x:v>
      </x:c>
      <x:c r="B9" s="45" t="s">
        <x:v>342</x:v>
      </x:c>
      <x:c r="C9" s="46" t="s">
        <x:v>343</x:v>
      </x:c>
      <x:c r="D9" s="47" t="s">
        <x:v>344</x:v>
      </x:c>
    </x:row>
    <x:row r="10" ht="75.5999984741211" hidden="0" customHeight="1">
      <x:c r="A10" s="44">
        <x:v>5.0</x:v>
      </x:c>
      <x:c r="B10" s="45" t="s">
        <x:v>345</x:v>
      </x:c>
      <x:c r="C10" s="46" t="str">
        <x:v>O projeto tem como objetivo apoiar coordenadores de cursos de graduação da UnB na decisão sobre quais disciplinas ofertar e quantas turmas abrir em cada semestre. Para isso, precisamos integrar dados de alunos, turmas e componentes curriculares disponibilizados pela UnB e realizar consultas que envolvem relacionamentos, filtros, agrupamentos e comparações históricas. A decisão de armazenamento é necessária para definir uma tecnologia capaz de preservar esses relacionamentos e, ao mesmo tempo, permitir análises sobre demanda, oferta, ocupação e distribuição das disciplinas por período e turno. A revisão 1.1 acrescenta Censo e Indicadores de Trajetória do Inep, com comparação anual entre cursos equivalentes.</x:v>
      </x:c>
      <x:c r="D10" s="47" t="s">
        <x:v>346</x:v>
      </x:c>
    </x:row>
    <x:row r="11" ht="64.80000305175781" hidden="0" customHeight="1">
      <x:c r="A11" s="44">
        <x:v>6.0</x:v>
      </x:c>
      <x:c r="B11" s="45" t="s">
        <x:v>347</x:v>
      </x:c>
      <x:c r="C11" s="46" t="s">
        <x:v>348</x:v>
      </x:c>
      <x:c r="D11" s="47" t="s">
        <x:v>349</x:v>
      </x:c>
    </x:row>
    <x:row r="12" ht="64.80000305175781" hidden="0" customHeight="1">
      <x:c r="A12" s="44">
        <x:v>7.0</x:v>
      </x:c>
      <x:c r="B12" s="45" t="s">
        <x:v>350</x:v>
      </x:c>
      <x:c r="C12" s="46" t="str">
        <x:v>As consultas mais frequentes serão identificar quantas turmas de cada disciplina foram abertas por semestre; verificar quais disciplinas possuem maior demanda ou ocupação; comparar a oferta e a demanda ao longo dos períodos; identificar disciplinas que podem funcionar como gargalos na estrutura curricular; e comparar a oferta de disciplinas obrigatórias entre os turnos diurno e noturno. Essas consultas exigem principalmente filtros, junções e agregações sobre alunos, turmas, componentes curriculares e períodos Q9–Q12 ampliam séries anuais, coortes e cobertura de correspondências.</x:v>
      </x:c>
      <x:c r="D12" s="47" t="s">
        <x:v>351</x:v>
      </x:c>
    </x:row>
    <x:row r="13" ht="39.75" customHeight="1">
      <x:c r="A13" s="44">
        <x:v>8.0</x:v>
      </x:c>
      <x:c r="B13" s="45" t="s">
        <x:v>352</x:v>
      </x:c>
      <x:c r="C13" s="46" t="s">
        <x:v>353</x:v>
      </x:c>
      <x:c r="D13" s="47" t="s">
        <x:v>354</x:v>
      </x:c>
    </x:row>
    <x:row r="14" ht="39.75" customHeight="1">
      <x:c r="A14" s="44">
        <x:v>9.0</x:v>
      </x:c>
      <x:c r="B14" s="45" t="s">
        <x:v>355</x:v>
      </x:c>
      <x:c r="C14" s="46" t="s">
        <x:v>356</x:v>
      </x:c>
      <x:c r="D14" s="47" t="s">
        <x:v>357</x:v>
      </x:c>
    </x:row>
    <x:row r="15" ht="39.75" customHeight="1">
      <x:c r="A15" s="44">
        <x:v>10.0</x:v>
      </x:c>
      <x:c r="B15" s="49" t="s">
        <x:v>358</x:v>
      </x:c>
      <x:c r="C15" s="46" t="s">
        <x:v>359</x:v>
      </x:c>
      <x:c r="D15" s="47" t="s">
        <x:v>360</x:v>
      </x:c>
    </x:row>
    <x:row r="16" ht="39.75" customHeight="1">
      <x:c r="A16" s="44">
        <x:v>11.0</x:v>
      </x:c>
      <x:c r="B16" s="49" t="s">
        <x:v>361</x:v>
      </x:c>
      <x:c r="C16" s="46" t="s">
        <x:v>362</x:v>
      </x:c>
      <x:c r="D16" s="47" t="s">
        <x:v>363</x:v>
      </x:c>
    </x:row>
    <x:row r="17" ht="39.75" customHeight="1">
      <x:c r="A17" s="44">
        <x:v>12.0</x:v>
      </x:c>
      <x:c r="B17" s="49" t="s">
        <x:v>364</x:v>
      </x:c>
      <x:c r="C17" s="46" t="s">
        <x:v>365</x:v>
      </x:c>
      <x:c r="D17" s="47" t="s">
        <x:v>366</x:v>
      </x:c>
    </x:row>
    <x:row r="18" ht="39.75" customHeight="1">
      <x:c r="A18" s="44">
        <x:v>13.0</x:v>
      </x:c>
      <x:c r="B18" s="45" t="s">
        <x:v>367</x:v>
      </x:c>
      <x:c r="C18" s="46" t="s">
        <x:v>368</x:v>
      </x:c>
      <x:c r="D18" s="47" t="s">
        <x:v>357</x:v>
      </x:c>
    </x:row>
    <x:row r="19">
      <x:c r="A19" s="44">
        <x:v>14.0</x:v>
      </x:c>
      <x:c r="B19" s="49" t="s">
        <x:v>369</x:v>
      </x:c>
      <x:c r="C19" s="46" t="s">
        <x:v>370</x:v>
      </x:c>
      <x:c r="D19" s="47" t="s">
        <x:v>360</x:v>
      </x:c>
    </x:row>
    <x:row r="20">
      <x:c r="A20" s="44">
        <x:v>15.0</x:v>
      </x:c>
      <x:c r="B20" s="49" t="s">
        <x:v>371</x:v>
      </x:c>
      <x:c r="C20" s="46" t="s">
        <x:v>372</x:v>
      </x:c>
      <x:c r="D20" s="47" t="s">
        <x:v>363</x:v>
      </x:c>
    </x:row>
    <x:row r="21">
      <x:c r="A21" s="44">
        <x:v>16.0</x:v>
      </x:c>
      <x:c r="B21" s="49" t="s">
        <x:v>364</x:v>
      </x:c>
      <x:c r="C21" s="46" t="s">
        <x:v>373</x:v>
      </x:c>
      <x:c r="D21" s="47" t="s">
        <x:v>366</x:v>
      </x:c>
    </x:row>
    <x:row r="22" ht="32.400001525878906" hidden="0" customHeight="1">
      <x:c r="A22" s="44">
        <x:v>17.0</x:v>
      </x:c>
      <x:c r="B22" s="45" t="s">
        <x:v>374</x:v>
      </x:c>
      <x:c r="C22" s="46" t="str">
        <x:v>Fontes locais F1–F3 mantidas. F4 e F5 foram selecionadas em páginas oficiais do Inep em 05/10/2026. Links de download retornaram HTTP 502. Código e testes sintéticos foram incluídos; dados oficiais e benchmark não foram executados. ADR-002 detalha a extensão.</x:v>
      </x:c>
      <x:c r="D22" s="47" t="s">
        <x:v>375</x:v>
      </x:c>
    </x:row>
    <x:row r="23" ht="54" hidden="0" customHeight="1">
      <x:c r="A23" s="44">
        <x:v>18.0</x:v>
      </x:c>
      <x:c r="B23" s="45" t="s">
        <x:v>376</x:v>
      </x:c>
      <x:c r="C23" s="46" t="s">
        <x:v>377</x:v>
      </x:c>
      <x:c r="D23" s="47" t="s">
        <x:v>378</x:v>
      </x:c>
    </x:row>
    <x:row r="24" ht="54" hidden="0" customHeight="1">
      <x:c r="A24" s="44">
        <x:v>19.0</x:v>
      </x:c>
      <x:c r="B24" s="45" t="s">
        <x:v>379</x:v>
      </x:c>
      <x:c r="C24" s="46" t="str">
        <x:v>A equipe terá de manter uma etapa de tratamento e integração dos dados antes que eles possam ser utilizados nas análises. O uso simultâneo de PostgreSQL e Parquet também aumenta um pouco a complexidade do pipeline em comparação com armazenar tudo em um único formato. Além disso, PostgreSQL pode exigir ajustes de índices e consultas caso o volume cresça significativamente A integração Inep exige mapas de cursos e de colunas revisados por edição; períodos e coortes precisam ser compatíveis.</x:v>
      </x:c>
      <x:c r="D24" s="47" t="s">
        <x:v>380</x:v>
      </x:c>
    </x:row>
    <x:row r="25">
      <x:c r="A25" s="44">
        <x:v>20.0</x:v>
      </x:c>
      <x:c r="B25" s="45" t="s">
        <x:v>381</x:v>
      </x:c>
      <x:c r="C25" s="46" t="s">
        <x:v>382</x:v>
      </x:c>
      <x:c r="D25" s="47" t="s">
        <x:v>383</x:v>
      </x:c>
    </x:row>
    <x:row r="26">
      <x:c r="A26" s="44">
        <x:v>21.0</x:v>
      </x:c>
      <x:c r="B26" s="45" t="s">
        <x:v>384</x:v>
      </x:c>
      <x:c r="C26" s="46" t="s">
        <x:v>385</x:v>
      </x:c>
      <x:c r="D26" s="47" t="s">
        <x:v>386</x:v>
      </x:c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D1"/>
    <x:mergeCell ref="A2:D2"/>
    <x:mergeCell ref="A4:D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34" hidden="0" customWidth="1"/>
    <x:col min="3" max="3" width="30" hidden="0" customWidth="1"/>
    <x:col min="4" max="4" width="55" hidden="0" customWidth="1"/>
    <x:col min="5" max="5" width="40" hidden="0" customWidth="1"/>
  </x:cols>
  <x:sheetData>
    <x:row r="1">
      <x:c r="A1" s="59" t="str">
        <x:v>Riscos da integração Inep</x:v>
      </x:c>
      <x:c r="B1" s="59"/>
      <x:c r="C1" s="59"/>
      <x:c r="D1" s="59"/>
      <x:c r="E1" s="59"/>
    </x:row>
    <x:row r="5">
      <x:c r="A5" s="62" t="str">
        <x:v>Nº</x:v>
      </x:c>
      <x:c r="B5" s="62" t="str">
        <x:v>Risco</x:v>
      </x:c>
      <x:c r="C5" s="62" t="str">
        <x:v>Efeito</x:v>
      </x:c>
      <x:c r="D5" s="62" t="str">
        <x:v>Mitigação</x:v>
      </x:c>
      <x:c r="E5" s="62" t="str">
        <x:v>Estado / evidência</x:v>
      </x:c>
    </x:row>
    <x:row r="6">
      <x:c r="A6" s="64"/>
      <x:c r="B6" s="64"/>
      <x:c r="C6" s="64"/>
      <x:c r="D6" s="64"/>
      <x:c r="E6" s="64"/>
    </x:row>
    <x:row r="7" ht="15" hidden="0" customHeight="1">
      <x:c r="A7" s="66" t="n">
        <x:v>1</x:v>
      </x:c>
      <x:c r="B7" s="66" t="str">
        <x:v>Servidor do Inep indisponível</x:v>
      </x:c>
      <x:c r="C7" s="66" t="str">
        <x:v>F4/F5 não chegam</x:v>
      </x:c>
      <x:c r="D7" s="66" t="str">
        <x:v>Encerrar com erro, registrar manifesto e usar download manual oficial</x:v>
      </x:c>
      <x:c r="E7" s="66" t="str">
        <x:v>HTTP 502 em 05/10/2026</x:v>
      </x:c>
    </x:row>
    <x:row r="8" ht="15" hidden="0" customHeight="1">
      <x:c r="A8" s="66" t="n">
        <x:v>2</x:v>
      </x:c>
      <x:c r="B8" s="66" t="str">
        <x:v>Mudança de schema ou unidade da taxa</x:v>
      </x:c>
      <x:c r="C8" s="66" t="str">
        <x:v>Indicadores incorretos</x:v>
      </x:c>
      <x:c r="D8" s="66" t="str">
        <x:v>Mapa revisado por edição; bloquear colunas e unidades inválidas</x:v>
      </x:c>
      <x:c r="E8" s="66" t="str">
        <x:v>Dicionário real pendente</x:v>
      </x:c>
    </x:row>
    <x:row r="9" ht="15" hidden="0" customHeight="1">
      <x:c r="A9" s="66" t="n">
        <x:v>3</x:v>
      </x:c>
      <x:c r="B9" s="66" t="str">
        <x:v>Correspondência errada de curso</x:v>
      </x:c>
      <x:c r="C9" s="66" t="str">
        <x:v>Mistura de cursos/campi</x:v>
      </x:c>
      <x:c r="D9" s="66" t="str">
        <x:v>Revisão por código, campus, grau e modalidade, com evidência</x:v>
      </x:c>
      <x:c r="E9" s="66" t="str">
        <x:v>Mapa real pendente</x:v>
      </x:c>
    </x:row>
    <x:row r="10" ht="15" hidden="0" customHeight="1">
      <x:c r="A10" s="66" t="n">
        <x:v>4</x:v>
      </x:c>
      <x:c r="B10" s="66" t="str">
        <x:v>Coortes e janelas diferentes</x:v>
      </x:c>
      <x:c r="C10" s="66" t="str">
        <x:v>Comparação incompatível</x:v>
      </x:c>
      <x:c r="D10" s="66" t="str">
        <x:v>Mesmo ano de ingresso e de observação; conferir classificações</x:v>
      </x:c>
      <x:c r="E10" s="66" t="str">
        <x:v>Regra implementada em SQL</x:v>
      </x:c>
    </x:row>
    <x:row r="11" ht="15" hidden="0" customHeight="1">
      <x:c r="A11" s="66" t="n">
        <x:v>5</x:v>
      </x:c>
      <x:c r="B11" s="66" t="str">
        <x:v>Duplicação ou conflito entre edições</x:v>
      </x:c>
      <x:c r="C11" s="66" t="str">
        <x:v>Contagens infladas</x:v>
      </x:c>
      <x:c r="D11" s="66" t="str">
        <x:v>Chave curso/coorte/ano, hash e rejeição de conflitos</x:v>
      </x:c>
      <x:c r="E11" s="66" t="str">
        <x:v>Testes sintéticos passaram</x:v>
      </x:c>
    </x:row>
    <x:row r="12" ht="15" hidden="0" customHeight="1">
      <x:c r="A12" s="66" t="n">
        <x:v>6</x:v>
      </x:c>
      <x:c r="B12" s="66" t="str">
        <x:v>Revisão oficial remove registros</x:v>
      </x:c>
      <x:c r="C12" s="66" t="str">
        <x:v>Linhas antigas permanecem</x:v>
      </x:c>
      <x:c r="D12" s="66" t="str">
        <x:v>Conferir diferenças e planejar substituição transacional do recorte</x:v>
      </x:c>
      <x:c r="E12" s="66" t="str">
        <x:v>Carga atual é upsert; não remove ausências</x:v>
      </x:c>
    </x:row>
    <x:row r="13" ht="15" hidden="0" customHeight="1">
      <x:c r="A13" s="66" t="n">
        <x:v>7</x:v>
      </x:c>
      <x:c r="B13" s="66" t="str">
        <x:v>F4 e F5 tratados como independentes</x:v>
      </x:c>
      <x:c r="C13" s="66" t="str">
        <x:v>Validação circular</x:v>
      </x:c>
      <x:c r="D13" s="66" t="str">
        <x:v>Registrar que trajetória deriva do Censo</x:v>
      </x:c>
      <x:c r="E13" s="66" t="str">
        <x:v>Limite documentado</x:v>
      </x:c>
    </x:row>
  </x:sheetData>
  <x:pageMargins left="0.7" right="0.7" top="0.75" bottom="0.75" header="0.3" footer="0.3"/>
</x:worksheet>
</file>